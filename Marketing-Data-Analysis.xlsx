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mca\Downloads\"/>
    </mc:Choice>
  </mc:AlternateContent>
  <xr:revisionPtr revIDLastSave="0" documentId="8_{7183EF31-28ED-42ED-BB7E-0FEF09CD961E}" xr6:coauthVersionLast="47" xr6:coauthVersionMax="47" xr10:uidLastSave="{00000000-0000-0000-0000-000000000000}"/>
  <bookViews>
    <workbookView xWindow="-110" yWindow="-110" windowWidth="19420" windowHeight="10300" tabRatio="878" firstSheet="1" activeTab="7" xr2:uid="{00000000-000D-0000-FFFF-FFFF00000000}"/>
  </bookViews>
  <sheets>
    <sheet name="Raw_Data" sheetId="1" r:id="rId1"/>
    <sheet name="Clean_Data" sheetId="2" r:id="rId2"/>
    <sheet name="Sheet9" sheetId="26" r:id="rId3"/>
    <sheet name="dhasbord2" sheetId="28" r:id="rId4"/>
    <sheet name="Analysis" sheetId="3" r:id="rId5"/>
    <sheet name="PivotTables" sheetId="4" r:id="rId6"/>
    <sheet name="Dashboard1" sheetId="10" r:id="rId7"/>
    <sheet name="Findings" sheetId="7" r:id="rId8"/>
  </sheets>
  <definedNames>
    <definedName name="_xlnm._FilterDatabase" localSheetId="6" hidden="1">Dashboard1!$L$10:$O$11</definedName>
    <definedName name="_xlchart.v1.0" hidden="1">Dashboard1!$I$11:$I$18</definedName>
    <definedName name="_xlchart.v1.1" hidden="1">Dashboard1!$J$11:$J$18</definedName>
    <definedName name="_xlchart.v1.2" hidden="1">Dashboard1!$I$11:$I$18</definedName>
    <definedName name="_xlchart.v1.3" hidden="1">Dashboard1!$J$11:$J$18</definedName>
    <definedName name="Slicer_Channel">#N/A</definedName>
    <definedName name="Slicer_Month">#N/A</definedName>
    <definedName name="Slicer_Region">#N/A</definedName>
    <definedName name="Slicer_Region1">#N/A</definedName>
    <definedName name="Slicer_Region2">#N/A</definedName>
    <definedName name="Slicer_Year">#N/A</definedName>
  </definedNames>
  <calcPr calcId="191029" iterateDelta="1E-4"/>
  <pivotCaches>
    <pivotCache cacheId="47" r:id="rId9"/>
    <pivotCache cacheId="48" r:id="rId10"/>
    <pivotCache cacheId="5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5" i="10" l="1"/>
  <c r="G5" i="10"/>
  <c r="D5" i="10"/>
  <c r="A5" i="10"/>
  <c r="E302" i="2"/>
  <c r="F21" i="3"/>
  <c r="F18" i="3"/>
  <c r="F14" i="3"/>
  <c r="F13" i="3"/>
  <c r="C13" i="3"/>
  <c r="B13" i="3"/>
  <c r="F12" i="3"/>
  <c r="C12" i="3"/>
  <c r="B12" i="3"/>
  <c r="F11" i="3"/>
  <c r="C11" i="3"/>
  <c r="B11" i="3"/>
  <c r="F10" i="3"/>
  <c r="C10" i="3"/>
  <c r="B10" i="3"/>
  <c r="F9" i="3"/>
  <c r="C9" i="3"/>
  <c r="B9" i="3"/>
  <c r="F8" i="3"/>
  <c r="C8" i="3"/>
  <c r="B8" i="3"/>
  <c r="F7" i="3"/>
  <c r="C7" i="3"/>
  <c r="B7" i="3"/>
  <c r="F6" i="3"/>
  <c r="C6" i="3"/>
  <c r="B6" i="3"/>
  <c r="F5" i="3"/>
  <c r="C5" i="3"/>
  <c r="B5" i="3"/>
  <c r="F4" i="3"/>
  <c r="C4" i="3"/>
  <c r="F22" i="3" s="1"/>
  <c r="B4" i="3"/>
  <c r="F17" i="3" s="1"/>
  <c r="F15" i="3" l="1"/>
  <c r="F16" i="3"/>
  <c r="F19" i="3"/>
  <c r="F20" i="3"/>
</calcChain>
</file>

<file path=xl/sharedStrings.xml><?xml version="1.0" encoding="utf-8"?>
<sst xmlns="http://schemas.openxmlformats.org/spreadsheetml/2006/main" count="2342" uniqueCount="454">
  <si>
    <t>RAW DATA — 20_Marketing (Original Source)</t>
  </si>
  <si>
    <t>DO NOT MODIFY — preserved exactly as supplied by the lecturer.</t>
  </si>
  <si>
    <t>Campaign_ID</t>
  </si>
  <si>
    <t>Start_Date</t>
  </si>
  <si>
    <t>Channel</t>
  </si>
  <si>
    <t>Region</t>
  </si>
  <si>
    <t>Budget</t>
  </si>
  <si>
    <t>Leads</t>
  </si>
  <si>
    <t>Conversions</t>
  </si>
  <si>
    <t>CMP0268</t>
  </si>
  <si>
    <t>Search</t>
  </si>
  <si>
    <t>Mogadishu</t>
  </si>
  <si>
    <t>CMP0077</t>
  </si>
  <si>
    <t>CMP0207</t>
  </si>
  <si>
    <t>Kismayo</t>
  </si>
  <si>
    <t>Social Media</t>
  </si>
  <si>
    <t>CMP0089</t>
  </si>
  <si>
    <t>Hargeisa</t>
  </si>
  <si>
    <t>CMP0098</t>
  </si>
  <si>
    <t>Influencer</t>
  </si>
  <si>
    <t>CMP0206</t>
  </si>
  <si>
    <t>Garowe</t>
  </si>
  <si>
    <t>CMP0094</t>
  </si>
  <si>
    <t>CMP0270</t>
  </si>
  <si>
    <t>Email</t>
  </si>
  <si>
    <t>CMP0132</t>
  </si>
  <si>
    <t>CMP0169</t>
  </si>
  <si>
    <t>CMP0082</t>
  </si>
  <si>
    <t>CMP0179</t>
  </si>
  <si>
    <t>CMP0083</t>
  </si>
  <si>
    <t>CMP0141</t>
  </si>
  <si>
    <t>CMP0005</t>
  </si>
  <si>
    <t>CMP0212</t>
  </si>
  <si>
    <t>Unknown</t>
  </si>
  <si>
    <t>CMP0049</t>
  </si>
  <si>
    <t>Baidoa</t>
  </si>
  <si>
    <t>CMP0281</t>
  </si>
  <si>
    <t>CMP0061</t>
  </si>
  <si>
    <t>CMP0125</t>
  </si>
  <si>
    <t>CMP0266</t>
  </si>
  <si>
    <t>CMP0050</t>
  </si>
  <si>
    <t>CMP0275</t>
  </si>
  <si>
    <t>CMP0160</t>
  </si>
  <si>
    <t>Bosaso</t>
  </si>
  <si>
    <t>CMP0239</t>
  </si>
  <si>
    <t>CMP0119</t>
  </si>
  <si>
    <t>CMP0232</t>
  </si>
  <si>
    <t>CMP0262</t>
  </si>
  <si>
    <t>CMP0291</t>
  </si>
  <si>
    <t>CMP0152</t>
  </si>
  <si>
    <t>CMP0090</t>
  </si>
  <si>
    <t>CMP0271</t>
  </si>
  <si>
    <t>CMP0227</t>
  </si>
  <si>
    <t>CMP0238</t>
  </si>
  <si>
    <t>CMP0107</t>
  </si>
  <si>
    <t>CMP0023</t>
  </si>
  <si>
    <t>CMP0195</t>
  </si>
  <si>
    <t>CMP0042</t>
  </si>
  <si>
    <t>CMP0182</t>
  </si>
  <si>
    <t>CMP0164</t>
  </si>
  <si>
    <t>CMP0041</t>
  </si>
  <si>
    <t>search</t>
  </si>
  <si>
    <t>CMP0121</t>
  </si>
  <si>
    <t>CMP0033</t>
  </si>
  <si>
    <t>CMP0003</t>
  </si>
  <si>
    <t>CMP0254</t>
  </si>
  <si>
    <t>CMP0095</t>
  </si>
  <si>
    <t>CMP0011</t>
  </si>
  <si>
    <t>CMP0228</t>
  </si>
  <si>
    <t>CMP0198</t>
  </si>
  <si>
    <t>mogadishu</t>
  </si>
  <si>
    <t>CMP0231</t>
  </si>
  <si>
    <t>CMP0100</t>
  </si>
  <si>
    <t>CMP0110</t>
  </si>
  <si>
    <t>CMP0115</t>
  </si>
  <si>
    <t>CMP0288</t>
  </si>
  <si>
    <t>Radio</t>
  </si>
  <si>
    <t>CMP0066</t>
  </si>
  <si>
    <t>CMP0264</t>
  </si>
  <si>
    <t>CMP0187</t>
  </si>
  <si>
    <t>CMP0047</t>
  </si>
  <si>
    <t>CMP0088</t>
  </si>
  <si>
    <t>CMP0051</t>
  </si>
  <si>
    <t>SOCIAL MEDIA</t>
  </si>
  <si>
    <t>CMP0092</t>
  </si>
  <si>
    <t>CMP0259</t>
  </si>
  <si>
    <t>CMP0008</t>
  </si>
  <si>
    <t>CMP0087</t>
  </si>
  <si>
    <t>CMP0058</t>
  </si>
  <si>
    <t>CMP0073</t>
  </si>
  <si>
    <t>CMP0269</t>
  </si>
  <si>
    <t>CMP0134</t>
  </si>
  <si>
    <t>CMP0032</t>
  </si>
  <si>
    <t>CMP0199</t>
  </si>
  <si>
    <t>CMP0017</t>
  </si>
  <si>
    <t>CMP0144</t>
  </si>
  <si>
    <t>CMP0018</t>
  </si>
  <si>
    <t>CMP0043</t>
  </si>
  <si>
    <t>CMP0257</t>
  </si>
  <si>
    <t>CMP0217</t>
  </si>
  <si>
    <t>CMP0139</t>
  </si>
  <si>
    <t>CMP0204</t>
  </si>
  <si>
    <t>CMP0086</t>
  </si>
  <si>
    <t>CMP0180</t>
  </si>
  <si>
    <t>CMP0214</t>
  </si>
  <si>
    <t>CMP0210</t>
  </si>
  <si>
    <t>CMP0075</t>
  </si>
  <si>
    <t>CMP0173</t>
  </si>
  <si>
    <t>CMP0159</t>
  </si>
  <si>
    <t>CMP0181</t>
  </si>
  <si>
    <t>CMP0194</t>
  </si>
  <si>
    <t>CMP0060</t>
  </si>
  <si>
    <t>CMP0185</t>
  </si>
  <si>
    <t>CMP0093</t>
  </si>
  <si>
    <t>CMP0272</t>
  </si>
  <si>
    <t>bosaso</t>
  </si>
  <si>
    <t>CMP0201</t>
  </si>
  <si>
    <t>CMP0282</t>
  </si>
  <si>
    <t>CMP0040</t>
  </si>
  <si>
    <t>CMP0109</t>
  </si>
  <si>
    <t>CMP0249</t>
  </si>
  <si>
    <t>CMP0215</t>
  </si>
  <si>
    <t>CMP0007</t>
  </si>
  <si>
    <t>CMP0230</t>
  </si>
  <si>
    <t>CMP0118</t>
  </si>
  <si>
    <t>CMP0124</t>
  </si>
  <si>
    <t>CMP0039</t>
  </si>
  <si>
    <t>CMP0154</t>
  </si>
  <si>
    <t>CMP0010</t>
  </si>
  <si>
    <t>CMP0242</t>
  </si>
  <si>
    <t>CMP0193</t>
  </si>
  <si>
    <t>CMP0286</t>
  </si>
  <si>
    <t>CMP0184</t>
  </si>
  <si>
    <t>CMP0167</t>
  </si>
  <si>
    <t>CMP0103</t>
  </si>
  <si>
    <t>CMP0022</t>
  </si>
  <si>
    <t>CMP0120</t>
  </si>
  <si>
    <t>CMP0031</t>
  </si>
  <si>
    <t>CMP0278</t>
  </si>
  <si>
    <t>CMP0244</t>
  </si>
  <si>
    <t>CMP0176</t>
  </si>
  <si>
    <t>CMP0021</t>
  </si>
  <si>
    <t>CMP0148</t>
  </si>
  <si>
    <t>CMP0208</t>
  </si>
  <si>
    <t>CMP0116</t>
  </si>
  <si>
    <t>CMP0236</t>
  </si>
  <si>
    <t>CMP0213</t>
  </si>
  <si>
    <t>CMP0284</t>
  </si>
  <si>
    <t>CMP0096</t>
  </si>
  <si>
    <t>CMP0250</t>
  </si>
  <si>
    <t>CMP0285</t>
  </si>
  <si>
    <t>CMP0246</t>
  </si>
  <si>
    <t>CMP0279</t>
  </si>
  <si>
    <t>CMP0153</t>
  </si>
  <si>
    <t>CMP0237</t>
  </si>
  <si>
    <t>CMP0145</t>
  </si>
  <si>
    <t>CMP0030</t>
  </si>
  <si>
    <t>CMP0001</t>
  </si>
  <si>
    <t>CMP0105</t>
  </si>
  <si>
    <t>CMP0200</t>
  </si>
  <si>
    <t>CMP0052</t>
  </si>
  <si>
    <t>CMP0283</t>
  </si>
  <si>
    <t>CMP0099</t>
  </si>
  <si>
    <t>CMP0147</t>
  </si>
  <si>
    <t>CMP0036</t>
  </si>
  <si>
    <t>CMP0216</t>
  </si>
  <si>
    <t>CMP0241</t>
  </si>
  <si>
    <t>CMP0076</t>
  </si>
  <si>
    <t>CMP0137</t>
  </si>
  <si>
    <t>CMP0234</t>
  </si>
  <si>
    <t>CMP0191</t>
  </si>
  <si>
    <t>CMP0014</t>
  </si>
  <si>
    <t>CMP0112</t>
  </si>
  <si>
    <t>CMP0166</t>
  </si>
  <si>
    <t>CMP0240</t>
  </si>
  <si>
    <t>CMP0045</t>
  </si>
  <si>
    <t>CMP0081</t>
  </si>
  <si>
    <t>CMP0165</t>
  </si>
  <si>
    <t>CMP0004</t>
  </si>
  <si>
    <t>CMP0172</t>
  </si>
  <si>
    <t>CMP0140</t>
  </si>
  <si>
    <t>CMP0072</t>
  </si>
  <si>
    <t>CMP0256</t>
  </si>
  <si>
    <t>CMP0205</t>
  </si>
  <si>
    <t>CMP0190</t>
  </si>
  <si>
    <t>CMP0053</t>
  </si>
  <si>
    <t>CMP0235</t>
  </si>
  <si>
    <t>CMP0101</t>
  </si>
  <si>
    <t>BAIDOA</t>
  </si>
  <si>
    <t>CMP0070</t>
  </si>
  <si>
    <t>CMP0155</t>
  </si>
  <si>
    <t>CMP0211</t>
  </si>
  <si>
    <t>CMP0163</t>
  </si>
  <si>
    <t>CMP0252</t>
  </si>
  <si>
    <t>CMP0015</t>
  </si>
  <si>
    <t>CMP0192</t>
  </si>
  <si>
    <t>CMP0243</t>
  </si>
  <si>
    <t>CMP0126</t>
  </si>
  <si>
    <t>CMP0056</t>
  </si>
  <si>
    <t>CMP0034</t>
  </si>
  <si>
    <t>CMP0026</t>
  </si>
  <si>
    <t>CMP0276</t>
  </si>
  <si>
    <t>CMP0128</t>
  </si>
  <si>
    <t>CMP0273</t>
  </si>
  <si>
    <t>CMP0064</t>
  </si>
  <si>
    <t>CMP0253</t>
  </si>
  <si>
    <t>CMP0189</t>
  </si>
  <si>
    <t>CMP0225</t>
  </si>
  <si>
    <t>CMP0255</t>
  </si>
  <si>
    <t>CMP0186</t>
  </si>
  <si>
    <t>CMP0158</t>
  </si>
  <si>
    <t>CMP0129</t>
  </si>
  <si>
    <t>CMP0146</t>
  </si>
  <si>
    <t>CMP0054</t>
  </si>
  <si>
    <t>CMP0174</t>
  </si>
  <si>
    <t>CMP0223</t>
  </si>
  <si>
    <t>CMP0202</t>
  </si>
  <si>
    <t>CMP0261</t>
  </si>
  <si>
    <t>CMP0024</t>
  </si>
  <si>
    <t>CMP0170</t>
  </si>
  <si>
    <t>CMP0127</t>
  </si>
  <si>
    <t>CMP0074</t>
  </si>
  <si>
    <t>CMP0106</t>
  </si>
  <si>
    <t>CMP0178</t>
  </si>
  <si>
    <t>CMP0133</t>
  </si>
  <si>
    <t>CMP0078</t>
  </si>
  <si>
    <t>CMP0245</t>
  </si>
  <si>
    <t>CMP0290</t>
  </si>
  <si>
    <t>CMP0258</t>
  </si>
  <si>
    <t>CMP0071</t>
  </si>
  <si>
    <t>CMP0233</t>
  </si>
  <si>
    <t>CMP0251</t>
  </si>
  <si>
    <t>CMP0203</t>
  </si>
  <si>
    <t>CMP0097</t>
  </si>
  <si>
    <t>CMP0130</t>
  </si>
  <si>
    <t>CMP0150</t>
  </si>
  <si>
    <t>CMP0151</t>
  </si>
  <si>
    <t>CMP0067</t>
  </si>
  <si>
    <t>CMP0079</t>
  </si>
  <si>
    <t>CMP0009</t>
  </si>
  <si>
    <t>CMP0135</t>
  </si>
  <si>
    <t>CMP0221</t>
  </si>
  <si>
    <t>-</t>
  </si>
  <si>
    <t>CMP0136</t>
  </si>
  <si>
    <t>CMP0117</t>
  </si>
  <si>
    <t>CMP0265</t>
  </si>
  <si>
    <t>CMP0065</t>
  </si>
  <si>
    <t>CMP0247</t>
  </si>
  <si>
    <t>CMP0016</t>
  </si>
  <si>
    <t>CMP0020</t>
  </si>
  <si>
    <t>CMP0171</t>
  </si>
  <si>
    <t>CMP0062</t>
  </si>
  <si>
    <t>CMP0263</t>
  </si>
  <si>
    <t>CMP0019</t>
  </si>
  <si>
    <t>CMP0059</t>
  </si>
  <si>
    <t>CMP0143</t>
  </si>
  <si>
    <t>CMP0044</t>
  </si>
  <si>
    <t>CMP0068</t>
  </si>
  <si>
    <t>CMP0220</t>
  </si>
  <si>
    <t>CMP0168</t>
  </si>
  <si>
    <t>CMP0057</t>
  </si>
  <si>
    <t>CMP0267</t>
  </si>
  <si>
    <t>CMP0138</t>
  </si>
  <si>
    <t>CMP0161</t>
  </si>
  <si>
    <t>CMP0029</t>
  </si>
  <si>
    <t>CMP0229</t>
  </si>
  <si>
    <t>CMP0287</t>
  </si>
  <si>
    <t>CMP0197</t>
  </si>
  <si>
    <t>CMP0274</t>
  </si>
  <si>
    <t>CMP0156</t>
  </si>
  <si>
    <t>CMP0084</t>
  </si>
  <si>
    <t>CMP0002</t>
  </si>
  <si>
    <t>CMP0289</t>
  </si>
  <si>
    <t>CMP0063</t>
  </si>
  <si>
    <t>CMP0196</t>
  </si>
  <si>
    <t>CMP0292</t>
  </si>
  <si>
    <t>CMP0046</t>
  </si>
  <si>
    <t>CMP0248</t>
  </si>
  <si>
    <t>CMP0114</t>
  </si>
  <si>
    <t>CMP0131</t>
  </si>
  <si>
    <t>CMP0177</t>
  </si>
  <si>
    <t>CMP0111</t>
  </si>
  <si>
    <t>CMP0091</t>
  </si>
  <si>
    <t>CMP0104</t>
  </si>
  <si>
    <t>CMP0218</t>
  </si>
  <si>
    <t>CMP0122</t>
  </si>
  <si>
    <t>CMP0055</t>
  </si>
  <si>
    <t>CMP0157</t>
  </si>
  <si>
    <t>CMP0038</t>
  </si>
  <si>
    <t>CMP0025</t>
  </si>
  <si>
    <t>CMP0219</t>
  </si>
  <si>
    <t>CMP0012</t>
  </si>
  <si>
    <t>CMP0280</t>
  </si>
  <si>
    <t>CMP0162</t>
  </si>
  <si>
    <t>CMP0222</t>
  </si>
  <si>
    <t>CMP0142</t>
  </si>
  <si>
    <t>CMP0027</t>
  </si>
  <si>
    <t>CMP0175</t>
  </si>
  <si>
    <t>CMP0149</t>
  </si>
  <si>
    <t>CMP0277</t>
  </si>
  <si>
    <t>CMP0006</t>
  </si>
  <si>
    <t>CMP0226</t>
  </si>
  <si>
    <t>CMP0209</t>
  </si>
  <si>
    <t>CMP0037</t>
  </si>
  <si>
    <t>CLEAN DATA — Standardized &amp; Analysis-Ready</t>
  </si>
  <si>
    <t>Year</t>
  </si>
  <si>
    <t>Month</t>
  </si>
  <si>
    <t>Conversion_Rate</t>
  </si>
  <si>
    <t>Campaign_Performance</t>
  </si>
  <si>
    <t>Cost_per_Lead</t>
  </si>
  <si>
    <t>Cost_per_Conversion</t>
  </si>
  <si>
    <t>CLEANING LOG</t>
  </si>
  <si>
    <t>High</t>
  </si>
  <si>
    <t>Duplicate records removed</t>
  </si>
  <si>
    <t>Original records</t>
  </si>
  <si>
    <t>Low</t>
  </si>
  <si>
    <t>Clean records</t>
  </si>
  <si>
    <t>NEW0001</t>
  </si>
  <si>
    <t>Missing categorical values</t>
  </si>
  <si>
    <t>Filled with Unknown</t>
  </si>
  <si>
    <t>Missing numeric values</t>
  </si>
  <si>
    <t>Filled with median</t>
  </si>
  <si>
    <t>Missing dates</t>
  </si>
  <si>
    <t>Filled with median date</t>
  </si>
  <si>
    <t>Text standardization</t>
  </si>
  <si>
    <t>TRIM + case normalization</t>
  </si>
  <si>
    <t>Derived fields</t>
  </si>
  <si>
    <t>Year, Month, Conversion Rate, Performance, Cost metrics</t>
  </si>
  <si>
    <t>NEW0002</t>
  </si>
  <si>
    <t>NEW0003</t>
  </si>
  <si>
    <t>NEW0004</t>
  </si>
  <si>
    <t>NEW0005</t>
  </si>
  <si>
    <t>NEW0006</t>
  </si>
  <si>
    <t>NEW0007</t>
  </si>
  <si>
    <t>NEW0008</t>
  </si>
  <si>
    <t>NEW0009</t>
  </si>
  <si>
    <t>NEW0010</t>
  </si>
  <si>
    <t>NEW0011</t>
  </si>
  <si>
    <t>NEW0012</t>
  </si>
  <si>
    <t>NEW0013</t>
  </si>
  <si>
    <t>NEW0014</t>
  </si>
  <si>
    <t>NEW0015</t>
  </si>
  <si>
    <t>ANALYSIS — Formula Demonstration &amp; Key Metrics</t>
  </si>
  <si>
    <t>Metric</t>
  </si>
  <si>
    <t>Formula</t>
  </si>
  <si>
    <t>Result</t>
  </si>
  <si>
    <t>REQUIRED FUNCTIONS</t>
  </si>
  <si>
    <t>Total Budget</t>
  </si>
  <si>
    <t>SUM</t>
  </si>
  <si>
    <t>Total budget</t>
  </si>
  <si>
    <t>Average Budget</t>
  </si>
  <si>
    <t>AVERAGE</t>
  </si>
  <si>
    <t>Average budget</t>
  </si>
  <si>
    <t>Campaign Records</t>
  </si>
  <si>
    <t>COUNT</t>
  </si>
  <si>
    <t>Count</t>
  </si>
  <si>
    <t>Minimum Budget</t>
  </si>
  <si>
    <t>MIN</t>
  </si>
  <si>
    <t>Minimum</t>
  </si>
  <si>
    <t>Maximum Budget</t>
  </si>
  <si>
    <t>MAX</t>
  </si>
  <si>
    <t>Maximum</t>
  </si>
  <si>
    <t>Total Leads</t>
  </si>
  <si>
    <t>SUMIF</t>
  </si>
  <si>
    <t>Search budget</t>
  </si>
  <si>
    <t>Total Conversions</t>
  </si>
  <si>
    <t>COUNTIF</t>
  </si>
  <si>
    <t>Search campaigns</t>
  </si>
  <si>
    <t>Overall Conversion Rate</t>
  </si>
  <si>
    <t>AVERAGEIF</t>
  </si>
  <si>
    <t>Average Search budget</t>
  </si>
  <si>
    <t>Average Conversion Rate</t>
  </si>
  <si>
    <t>IF</t>
  </si>
  <si>
    <t>Performance classification</t>
  </si>
  <si>
    <t>Average Cost/Lead</t>
  </si>
  <si>
    <t>AND</t>
  </si>
  <si>
    <t>Combined logic</t>
  </si>
  <si>
    <t>TODAY</t>
  </si>
  <si>
    <t>Current date</t>
  </si>
  <si>
    <t>YEAR</t>
  </si>
  <si>
    <t>MONTH</t>
  </si>
  <si>
    <t>DAY</t>
  </si>
  <si>
    <t>Day</t>
  </si>
  <si>
    <t>NETWORKDAYS</t>
  </si>
  <si>
    <t>Working days</t>
  </si>
  <si>
    <t>TRIM</t>
  </si>
  <si>
    <t>Text spaces</t>
  </si>
  <si>
    <t>UPPER</t>
  </si>
  <si>
    <t>Uppercase</t>
  </si>
  <si>
    <t>PROPER</t>
  </si>
  <si>
    <t>Proper case</t>
  </si>
  <si>
    <t>SUBSTITUTE</t>
  </si>
  <si>
    <t>Replace text</t>
  </si>
  <si>
    <t>PIVOTTABLES — Marketing Performance</t>
  </si>
  <si>
    <t>These summaries are PivotTable-ready: Rows / Columns / Values / Filters are documented below.</t>
  </si>
  <si>
    <t>Filter</t>
  </si>
  <si>
    <t>PIVOT 1 — CHANNEL PERFORMANCE</t>
  </si>
  <si>
    <t>- all -</t>
  </si>
  <si>
    <t>Campaigns</t>
  </si>
  <si>
    <t>Conversion Rate</t>
  </si>
  <si>
    <t>Data</t>
  </si>
  <si>
    <t>Sum - Budget</t>
  </si>
  <si>
    <t>Sum - Leads</t>
  </si>
  <si>
    <t>Sum - Conversions</t>
  </si>
  <si>
    <t>PIVOT 2 — REGIONAL PERFORMANCE</t>
  </si>
  <si>
    <t>PIVOT 3 — YEAR PERFORMANCE</t>
  </si>
  <si>
    <t>PIVOT 4 — MONTHLY PERFORMANCE</t>
  </si>
  <si>
    <t>MonthName</t>
  </si>
  <si>
    <t>January</t>
  </si>
  <si>
    <t>February</t>
  </si>
  <si>
    <t>March</t>
  </si>
  <si>
    <t>April</t>
  </si>
  <si>
    <t>May</t>
  </si>
  <si>
    <t>June</t>
  </si>
  <si>
    <t>July</t>
  </si>
  <si>
    <t>August</t>
  </si>
  <si>
    <t>September</t>
  </si>
  <si>
    <t>October</t>
  </si>
  <si>
    <t>November</t>
  </si>
  <si>
    <t>December</t>
  </si>
  <si>
    <t>PIVOTTABLE FIELD LAYOUTS</t>
  </si>
  <si>
    <t>Rows = Channel | Values = Sum Budget, Sum Leads, Sum Conversions | Filter = Year</t>
  </si>
  <si>
    <t>Rows = Region | Values = Sum Budget, Sum Leads, Sum Conversions | Filter = Channel</t>
  </si>
  <si>
    <t>Total Sum - Budget</t>
  </si>
  <si>
    <t>Rows = Year | Values = Sum Budget, Sum Leads, Sum Conversions | Filter = Region</t>
  </si>
  <si>
    <t>Total Sum - Leads</t>
  </si>
  <si>
    <t>Rows = Month | Values = Sum Leads, Sum Conversions | Filter = Channel</t>
  </si>
  <si>
    <t>Total Sum - Conversions</t>
  </si>
  <si>
    <t>TOTAL BUDGET</t>
  </si>
  <si>
    <t>TOTAL LEADS</t>
  </si>
  <si>
    <t>TOTAL CONVERSIONS</t>
  </si>
  <si>
    <t>CONVERSION RATE</t>
  </si>
  <si>
    <t>MARKETING EFFICIENCY DASHBOARD</t>
  </si>
  <si>
    <t>Cost / Lead</t>
  </si>
  <si>
    <t>Cost / Conversion</t>
  </si>
  <si>
    <t>FINDINGS &amp; RECOMMENDATIONS</t>
  </si>
  <si>
    <t>FINDINGS</t>
  </si>
  <si>
    <t>1. Search generated the highest conversion volume (8,434) among the channels.</t>
  </si>
  <si>
    <t>2. Radio had the lowest conversion rate (10.7%) among the channels, indicating an area for optimization.</t>
  </si>
  <si>
    <t>3. Bosaso recorded the strongest regional conversion rate (20.6%).</t>
  </si>
  <si>
    <t>4. Total cleaned campaigns = 293; duplicate records removed = 7.</t>
  </si>
  <si>
    <t>5. Overall conversion rate is 18.3%, giving management a high-level efficiency benchmark.</t>
  </si>
  <si>
    <t>RECOMMENDATIONS</t>
  </si>
  <si>
    <t>1. Gradually increase investment in high-performing channels such as Search, while monitoring cost per lead and conversion rate.</t>
  </si>
  <si>
    <t>2. Review the Radio campaign strategy, creative, targeting and landing experience to improve conversion efficiency.</t>
  </si>
  <si>
    <t>3. Document and replicate the practices used in Bosaso where conversion efficiency is strongest, then test them in other regions.</t>
  </si>
  <si>
    <t>PROJECT WORKFLOW</t>
  </si>
  <si>
    <t>RAW DATA → CLEAN DATA → FORMULAS → PIVOTTABLES → CHARTS → KPIs → SLICERS → DASHBOARDS → FINDINGS → RECOMMENDATIONS</t>
  </si>
  <si>
    <t>Row Labels</t>
  </si>
  <si>
    <t>Grand Total</t>
  </si>
  <si>
    <t>Sum of Budget</t>
  </si>
  <si>
    <t>Count of Channel</t>
  </si>
  <si>
    <t>Sum of Month</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</si>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</sst>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
    <numFmt numFmtId="166" formatCode="0.0%"/>
    <numFmt numFmtId="167" formatCode="mm/dd/yy"/>
    <numFmt numFmtId="168" formatCode="\$#,##0"/>
  </numFmts>
  <fonts count="14" x14ac:knownFonts="1">
    <font>
      <sz val="11"/>
      <color theme="1"/>
      <name val="Calibri"/>
      <family val="2"/>
      <charset val="1"/>
    </font>
    <font>
      <b/>
      <sz val="11"/>
      <color theme="1"/>
      <name val="Calibri"/>
      <family val="2"/>
      <charset val="1"/>
    </font>
    <font>
      <b/>
      <sz val="16"/>
      <color rgb="FFFFFFFF"/>
      <name val="Cambria"/>
      <charset val="1"/>
    </font>
    <font>
      <i/>
      <sz val="11"/>
      <color rgb="FFC00000"/>
      <name val="Cambria"/>
      <charset val="1"/>
    </font>
    <font>
      <b/>
      <sz val="11"/>
      <color rgb="FFFFFFFF"/>
      <name val="Cambria"/>
      <charset val="1"/>
    </font>
    <font>
      <b/>
      <sz val="13"/>
      <name val="Cambria"/>
      <charset val="1"/>
    </font>
    <font>
      <b/>
      <sz val="11"/>
      <name val="Cambria"/>
      <charset val="1"/>
    </font>
    <font>
      <i/>
      <sz val="11"/>
      <color rgb="FF6B7280"/>
      <name val="Cambria"/>
      <charset val="1"/>
    </font>
    <font>
      <b/>
      <sz val="11"/>
      <color rgb="FF17365D"/>
      <name val="Cambria"/>
      <charset val="1"/>
    </font>
    <font>
      <b/>
      <sz val="18"/>
      <color rgb="FF1F2937"/>
      <name val="Cambria"/>
      <charset val="1"/>
    </font>
    <font>
      <b/>
      <sz val="18"/>
      <color rgb="FFFFFFFF"/>
      <name val="Cambria"/>
      <charset val="1"/>
    </font>
    <font>
      <b/>
      <sz val="14"/>
      <name val="Cambria"/>
      <charset val="1"/>
    </font>
    <font>
      <sz val="11"/>
      <color theme="1"/>
      <name val="Calibri"/>
      <family val="2"/>
      <charset val="1"/>
    </font>
    <font>
      <b/>
      <sz val="20"/>
      <color rgb="FFFFFFFF"/>
      <name val="Cambria"/>
      <family val="1"/>
    </font>
  </fonts>
  <fills count="4">
    <fill>
      <patternFill patternType="none"/>
    </fill>
    <fill>
      <patternFill patternType="gray125"/>
    </fill>
    <fill>
      <patternFill patternType="solid">
        <fgColor rgb="FF17365D"/>
        <bgColor rgb="FF1F2937"/>
      </patternFill>
    </fill>
    <fill>
      <patternFill patternType="solid">
        <fgColor rgb="FFEAF2F8"/>
        <bgColor rgb="FFFFFFFF"/>
      </patternFill>
    </fill>
  </fills>
  <borders count="2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7">
    <xf numFmtId="0" fontId="0" fillId="0" borderId="0"/>
    <xf numFmtId="0" fontId="12" fillId="0" borderId="0" applyBorder="0" applyProtection="0"/>
    <xf numFmtId="0" fontId="12" fillId="0" borderId="0" applyBorder="0" applyProtection="0"/>
    <xf numFmtId="0" fontId="12" fillId="0" borderId="0" applyBorder="0" applyProtection="0"/>
    <xf numFmtId="0" fontId="12" fillId="0" borderId="0" applyBorder="0" applyProtection="0">
      <alignment horizontal="left"/>
    </xf>
    <xf numFmtId="0" fontId="1" fillId="0" borderId="0" applyBorder="0" applyProtection="0">
      <alignment horizontal="left"/>
    </xf>
    <xf numFmtId="0" fontId="1" fillId="0" borderId="0" applyBorder="0" applyProtection="0"/>
  </cellStyleXfs>
  <cellXfs count="50">
    <xf numFmtId="0" fontId="0" fillId="0" borderId="0" xfId="0"/>
    <xf numFmtId="0" fontId="3" fillId="0" borderId="0" xfId="0" applyFont="1"/>
    <xf numFmtId="0" fontId="4" fillId="2" borderId="0" xfId="0" applyFont="1" applyFill="1" applyAlignment="1">
      <alignment horizontal="center"/>
    </xf>
    <xf numFmtId="164" fontId="0" fillId="0" borderId="0" xfId="0" applyNumberFormat="1"/>
    <xf numFmtId="165" fontId="0" fillId="0" borderId="0" xfId="0" applyNumberFormat="1"/>
    <xf numFmtId="0" fontId="5" fillId="3" borderId="0" xfId="0" applyFont="1" applyFill="1"/>
    <xf numFmtId="166" fontId="0" fillId="0" borderId="0" xfId="0" applyNumberFormat="1"/>
    <xf numFmtId="0" fontId="6" fillId="0" borderId="0" xfId="0" applyFont="1"/>
    <xf numFmtId="0" fontId="4" fillId="2" borderId="0" xfId="0" applyFont="1" applyFill="1"/>
    <xf numFmtId="0" fontId="6" fillId="3" borderId="0" xfId="0" applyFont="1" applyFill="1"/>
    <xf numFmtId="1" fontId="0" fillId="0" borderId="0" xfId="0" applyNumberFormat="1"/>
    <xf numFmtId="10" fontId="0" fillId="0" borderId="0" xfId="0" applyNumberFormat="1"/>
    <xf numFmtId="167" fontId="0" fillId="0" borderId="0" xfId="0" applyNumberFormat="1"/>
    <xf numFmtId="0" fontId="7" fillId="0" borderId="0" xfId="0" applyFont="1"/>
    <xf numFmtId="0" fontId="12" fillId="0" borderId="0" xfId="1"/>
    <xf numFmtId="0" fontId="0" fillId="0" borderId="1" xfId="0" applyBorder="1"/>
    <xf numFmtId="0" fontId="12" fillId="0" borderId="2" xfId="1" applyBorder="1"/>
    <xf numFmtId="0" fontId="12" fillId="0" borderId="3" xfId="1" applyBorder="1"/>
    <xf numFmtId="0" fontId="12" fillId="0" borderId="4" xfId="2" applyBorder="1"/>
    <xf numFmtId="0" fontId="12" fillId="0" borderId="5" xfId="4" applyBorder="1">
      <alignment horizontal="left"/>
    </xf>
    <xf numFmtId="0" fontId="12" fillId="0" borderId="6" xfId="4" applyBorder="1">
      <alignment horizontal="left"/>
    </xf>
    <xf numFmtId="165" fontId="12" fillId="0" borderId="7" xfId="3" applyNumberFormat="1" applyBorder="1"/>
    <xf numFmtId="0" fontId="12" fillId="0" borderId="8" xfId="4" applyBorder="1">
      <alignment horizontal="left"/>
    </xf>
    <xf numFmtId="0" fontId="12" fillId="0" borderId="9" xfId="4" applyBorder="1">
      <alignment horizontal="left"/>
    </xf>
    <xf numFmtId="0" fontId="12" fillId="0" borderId="10" xfId="3" applyBorder="1"/>
    <xf numFmtId="0" fontId="12" fillId="0" borderId="11" xfId="4" applyBorder="1">
      <alignment horizontal="left"/>
    </xf>
    <xf numFmtId="0" fontId="12" fillId="0" borderId="12" xfId="4" applyBorder="1">
      <alignment horizontal="left"/>
    </xf>
    <xf numFmtId="0" fontId="12" fillId="0" borderId="13" xfId="3" applyBorder="1"/>
    <xf numFmtId="0" fontId="1" fillId="0" borderId="14" xfId="5" applyBorder="1">
      <alignment horizontal="left"/>
    </xf>
    <xf numFmtId="0" fontId="1" fillId="0" borderId="15" xfId="5" applyBorder="1">
      <alignment horizontal="left"/>
    </xf>
    <xf numFmtId="165" fontId="1" fillId="0" borderId="16" xfId="6" applyNumberFormat="1" applyBorder="1"/>
    <xf numFmtId="0" fontId="1" fillId="0" borderId="16" xfId="6" applyBorder="1"/>
    <xf numFmtId="0" fontId="1" fillId="0" borderId="17" xfId="5" applyBorder="1">
      <alignment horizontal="left"/>
    </xf>
    <xf numFmtId="0" fontId="1" fillId="0" borderId="18" xfId="5" applyBorder="1">
      <alignment horizontal="left"/>
    </xf>
    <xf numFmtId="0" fontId="1" fillId="0" borderId="19" xfId="6" applyBorder="1"/>
    <xf numFmtId="0" fontId="12" fillId="0" borderId="7" xfId="3" applyBorder="1"/>
    <xf numFmtId="0" fontId="8" fillId="0" borderId="0" xfId="0" applyFont="1"/>
    <xf numFmtId="0" fontId="11" fillId="3" borderId="0" xfId="0" applyFont="1" applyFill="1"/>
    <xf numFmtId="0" fontId="0" fillId="0" borderId="0" xfId="0" pivotButton="1"/>
    <xf numFmtId="0" fontId="0" fillId="0" borderId="0" xfId="0" applyAlignment="1">
      <alignment horizontal="left"/>
    </xf>
    <xf numFmtId="0" fontId="13" fillId="2" borderId="0" xfId="0" applyFont="1" applyFill="1" applyAlignment="1">
      <alignment horizontal="center" vertical="center"/>
    </xf>
    <xf numFmtId="0" fontId="7" fillId="0" borderId="0" xfId="0" applyFont="1" applyAlignment="1">
      <alignment horizontal="center"/>
    </xf>
    <xf numFmtId="168" fontId="9" fillId="0" borderId="0" xfId="0" applyNumberFormat="1" applyFont="1" applyAlignment="1">
      <alignment horizontal="center" vertical="center"/>
    </xf>
    <xf numFmtId="3" fontId="9" fillId="0" borderId="0" xfId="0" applyNumberFormat="1" applyFont="1" applyAlignment="1">
      <alignment horizontal="center" vertical="center"/>
    </xf>
    <xf numFmtId="166" fontId="9" fillId="0" borderId="0" xfId="0" applyNumberFormat="1" applyFont="1" applyAlignment="1">
      <alignment horizontal="center" vertical="center"/>
    </xf>
    <xf numFmtId="0" fontId="2" fillId="2" borderId="0" xfId="0" applyFont="1" applyFill="1" applyAlignment="1">
      <alignment horizontal="center"/>
    </xf>
    <xf numFmtId="0" fontId="0" fillId="0" borderId="0" xfId="0" applyAlignment="1">
      <alignment wrapText="1"/>
    </xf>
    <xf numFmtId="0" fontId="8" fillId="0" borderId="0" xfId="0" applyFont="1" applyAlignment="1">
      <alignment horizontal="center"/>
    </xf>
    <xf numFmtId="0" fontId="10" fillId="2" borderId="0" xfId="0" applyFont="1" applyFill="1" applyAlignment="1">
      <alignment horizontal="center"/>
    </xf>
    <xf numFmtId="0" fontId="0" fillId="0" borderId="0" xfId="0" applyNumberFormat="1"/>
  </cellXfs>
  <cellStyles count="7">
    <cellStyle name="Normal" xfId="0" builtinId="0"/>
    <cellStyle name="Pivot Table Category" xfId="4" xr:uid="{00000000-0005-0000-0000-000009000000}"/>
    <cellStyle name="Pivot Table Corner" xfId="2" xr:uid="{00000000-0005-0000-0000-000007000000}"/>
    <cellStyle name="Pivot Table Field" xfId="1" xr:uid="{00000000-0005-0000-0000-000006000000}"/>
    <cellStyle name="Pivot Table Result" xfId="6" xr:uid="{00000000-0005-0000-0000-00000B000000}"/>
    <cellStyle name="Pivot Table Title" xfId="5" xr:uid="{00000000-0005-0000-0000-00000A000000}"/>
    <cellStyle name="Pivot Table Value" xfId="3" xr:uid="{00000000-0005-0000-0000-000008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FCC"/>
      <rgbColor rgb="FFEAF2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BACC6"/>
      <rgbColor rgb="FF9BBB59"/>
      <rgbColor rgb="FFFFCC00"/>
      <rgbColor rgb="FFF79646"/>
      <rgbColor rgb="FFFF6600"/>
      <rgbColor rgb="FF6B7280"/>
      <rgbColor rgb="FF8064A2"/>
      <rgbColor rgb="FF17365D"/>
      <rgbColor rgb="FF4F81BD"/>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[nimca.pptx (9)).xlsx]Sheet9!PivotTable23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2">
              <a:lumMod val="50000"/>
            </a:schemeClr>
          </a:solidFill>
          <a:ln>
            <a:noFill/>
          </a:ln>
          <a:effectLst/>
        </c:spPr>
      </c:pivotFmt>
      <c:pivotFmt>
        <c:idx val="3"/>
        <c:spPr>
          <a:solidFill>
            <a:schemeClr val="tx1">
              <a:lumMod val="95000"/>
              <a:lumOff val="5000"/>
            </a:schemeClr>
          </a:solidFill>
          <a:ln>
            <a:noFill/>
          </a:ln>
          <a:effectLst/>
        </c:spPr>
      </c:pivotFmt>
      <c:pivotFmt>
        <c:idx val="4"/>
        <c:spPr>
          <a:solidFill>
            <a:srgbClr val="00B050"/>
          </a:solidFill>
          <a:ln>
            <a:noFill/>
          </a:ln>
          <a:effectLst/>
        </c:spPr>
      </c:pivotFmt>
      <c:pivotFmt>
        <c:idx val="5"/>
        <c:spPr>
          <a:solidFill>
            <a:srgbClr val="00B0F0"/>
          </a:solidFill>
          <a:ln>
            <a:noFill/>
          </a:ln>
          <a:effectLst/>
        </c:spPr>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5-512D-4AAB-B787-4F979D765122}"/>
              </c:ext>
            </c:extLst>
          </c:dPt>
          <c:dPt>
            <c:idx val="2"/>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4-512D-4AAB-B787-4F979D765122}"/>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3-512D-4AAB-B787-4F979D765122}"/>
              </c:ext>
            </c:extLst>
          </c:dPt>
          <c:dPt>
            <c:idx val="4"/>
            <c:invertIfNegative val="0"/>
            <c:bubble3D val="0"/>
            <c:spPr>
              <a:solidFill>
                <a:srgbClr val="C00000"/>
              </a:solidFill>
              <a:ln>
                <a:noFill/>
              </a:ln>
              <a:effectLst/>
            </c:spPr>
            <c:extLst>
              <c:ext xmlns:c16="http://schemas.microsoft.com/office/drawing/2014/chart" uri="{C3380CC4-5D6E-409C-BE32-E72D297353CC}">
                <c16:uniqueId val="{00000002-512D-4AAB-B787-4F979D765122}"/>
              </c:ext>
            </c:extLst>
          </c:dPt>
          <c:dPt>
            <c:idx val="5"/>
            <c:invertIfNegative val="0"/>
            <c:bubble3D val="0"/>
            <c:spPr>
              <a:solidFill>
                <a:srgbClr val="00B0F0"/>
              </a:solidFill>
              <a:ln>
                <a:noFill/>
              </a:ln>
              <a:effectLst/>
            </c:spPr>
            <c:extLst>
              <c:ext xmlns:c16="http://schemas.microsoft.com/office/drawing/2014/chart" uri="{C3380CC4-5D6E-409C-BE32-E72D297353CC}">
                <c16:uniqueId val="{00000006-512D-4AAB-B787-4F979D765122}"/>
              </c:ext>
            </c:extLst>
          </c:dPt>
          <c:cat>
            <c:strRef>
              <c:f>Sheet9!$A$4:$A$10</c:f>
              <c:strCache>
                <c:ptCount val="6"/>
                <c:pt idx="0">
                  <c:v>Email</c:v>
                </c:pt>
                <c:pt idx="1">
                  <c:v>Influencer</c:v>
                </c:pt>
                <c:pt idx="2">
                  <c:v>Radio</c:v>
                </c:pt>
                <c:pt idx="3">
                  <c:v>Search</c:v>
                </c:pt>
                <c:pt idx="4">
                  <c:v>Social Media</c:v>
                </c:pt>
                <c:pt idx="5">
                  <c:v>Unknown</c:v>
                </c:pt>
              </c:strCache>
            </c:strRef>
          </c:cat>
          <c:val>
            <c:numRef>
              <c:f>Sheet9!$B$4:$B$10</c:f>
              <c:numCache>
                <c:formatCode>\$#,##0.00</c:formatCode>
                <c:ptCount val="6"/>
                <c:pt idx="0">
                  <c:v>112384.86500000001</c:v>
                </c:pt>
                <c:pt idx="1">
                  <c:v>101777.985</c:v>
                </c:pt>
                <c:pt idx="2">
                  <c:v>109347.25499999998</c:v>
                </c:pt>
                <c:pt idx="3">
                  <c:v>210050.28499999992</c:v>
                </c:pt>
                <c:pt idx="4">
                  <c:v>233155.51500000001</c:v>
                </c:pt>
                <c:pt idx="5">
                  <c:v>54306.93</c:v>
                </c:pt>
              </c:numCache>
            </c:numRef>
          </c:val>
          <c:extLst>
            <c:ext xmlns:c16="http://schemas.microsoft.com/office/drawing/2014/chart" uri="{C3380CC4-5D6E-409C-BE32-E72D297353CC}">
              <c16:uniqueId val="{00000000-512D-4AAB-B787-4F979D765122}"/>
            </c:ext>
          </c:extLst>
        </c:ser>
        <c:dLbls>
          <c:showLegendKey val="0"/>
          <c:showVal val="0"/>
          <c:showCatName val="0"/>
          <c:showSerName val="0"/>
          <c:showPercent val="0"/>
          <c:showBubbleSize val="0"/>
        </c:dLbls>
        <c:gapWidth val="219"/>
        <c:overlap val="-27"/>
        <c:axId val="721183504"/>
        <c:axId val="721186744"/>
      </c:barChart>
      <c:catAx>
        <c:axId val="72118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86744"/>
        <c:crosses val="autoZero"/>
        <c:auto val="1"/>
        <c:lblAlgn val="ctr"/>
        <c:lblOffset val="100"/>
        <c:noMultiLvlLbl val="0"/>
      </c:catAx>
      <c:valAx>
        <c:axId val="721186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8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[nimca.pptx (9)).xlsx]Sheet9!PivotTable24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pivotFmt>
      <c:pivotFmt>
        <c:idx val="2"/>
        <c:spPr>
          <a:solidFill>
            <a:srgbClr val="00B0F0"/>
          </a:solidFill>
          <a:ln>
            <a:noFill/>
          </a:ln>
          <a:effectLst/>
        </c:spPr>
      </c:pivotFmt>
    </c:pivotFmts>
    <c:plotArea>
      <c:layout/>
      <c:barChart>
        <c:barDir val="col"/>
        <c:grouping val="clustered"/>
        <c:varyColors val="0"/>
        <c:ser>
          <c:idx val="0"/>
          <c:order val="0"/>
          <c:tx>
            <c:strRef>
              <c:f>Sheet9!$B$21</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2-DFC3-458B-8327-BD46E0F8855A}"/>
              </c:ext>
            </c:extLst>
          </c:dPt>
          <c:dPt>
            <c:idx val="1"/>
            <c:invertIfNegative val="0"/>
            <c:bubble3D val="0"/>
            <c:spPr>
              <a:solidFill>
                <a:srgbClr val="00B0F0"/>
              </a:solidFill>
              <a:ln>
                <a:noFill/>
              </a:ln>
              <a:effectLst/>
            </c:spPr>
            <c:extLst>
              <c:ext xmlns:c16="http://schemas.microsoft.com/office/drawing/2014/chart" uri="{C3380CC4-5D6E-409C-BE32-E72D297353CC}">
                <c16:uniqueId val="{00000003-DFC3-458B-8327-BD46E0F8855A}"/>
              </c:ext>
            </c:extLst>
          </c:dPt>
          <c:cat>
            <c:strRef>
              <c:f>Sheet9!$A$22:$A$24</c:f>
              <c:strCache>
                <c:ptCount val="2"/>
                <c:pt idx="0">
                  <c:v>2025</c:v>
                </c:pt>
                <c:pt idx="1">
                  <c:v>2026</c:v>
                </c:pt>
              </c:strCache>
            </c:strRef>
          </c:cat>
          <c:val>
            <c:numRef>
              <c:f>Sheet9!$B$22:$B$24</c:f>
              <c:numCache>
                <c:formatCode>General</c:formatCode>
                <c:ptCount val="2"/>
                <c:pt idx="0">
                  <c:v>190</c:v>
                </c:pt>
                <c:pt idx="1">
                  <c:v>103</c:v>
                </c:pt>
              </c:numCache>
            </c:numRef>
          </c:val>
          <c:extLst>
            <c:ext xmlns:c16="http://schemas.microsoft.com/office/drawing/2014/chart" uri="{C3380CC4-5D6E-409C-BE32-E72D297353CC}">
              <c16:uniqueId val="{00000000-DFC3-458B-8327-BD46E0F8855A}"/>
            </c:ext>
          </c:extLst>
        </c:ser>
        <c:dLbls>
          <c:showLegendKey val="0"/>
          <c:showVal val="0"/>
          <c:showCatName val="0"/>
          <c:showSerName val="0"/>
          <c:showPercent val="0"/>
          <c:showBubbleSize val="0"/>
        </c:dLbls>
        <c:gapWidth val="219"/>
        <c:overlap val="-27"/>
        <c:axId val="624723808"/>
        <c:axId val="624728488"/>
      </c:barChart>
      <c:catAx>
        <c:axId val="6247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28488"/>
        <c:crosses val="autoZero"/>
        <c:auto val="1"/>
        <c:lblAlgn val="ctr"/>
        <c:lblOffset val="100"/>
        <c:noMultiLvlLbl val="0"/>
      </c:catAx>
      <c:valAx>
        <c:axId val="624728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[nimca.pptx (9)).xlsx]Sheet9!PivotTable23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chemeClr val="tx1">
              <a:lumMod val="95000"/>
              <a:lumOff val="5000"/>
            </a:schemeClr>
          </a:solidFill>
          <a:ln>
            <a:noFill/>
          </a:ln>
          <a:effectLst/>
        </c:spPr>
      </c:pivotFmt>
      <c:pivotFmt>
        <c:idx val="5"/>
        <c:spPr>
          <a:solidFill>
            <a:schemeClr val="bg1">
              <a:lumMod val="50000"/>
            </a:schemeClr>
          </a:solidFill>
          <a:ln>
            <a:noFill/>
          </a:ln>
          <a:effectLst/>
        </c:spPr>
      </c:pivotFmt>
      <c:pivotFmt>
        <c:idx val="6"/>
        <c:spPr>
          <a:solidFill>
            <a:srgbClr val="00B050"/>
          </a:solidFill>
          <a:ln>
            <a:noFill/>
          </a:ln>
          <a:effectLst/>
        </c:spPr>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299B-4378-B6C6-FFF34C5DA383}"/>
              </c:ext>
            </c:extLst>
          </c:dPt>
          <c:dPt>
            <c:idx val="2"/>
            <c:invertIfNegative val="0"/>
            <c:bubble3D val="0"/>
            <c:spPr>
              <a:solidFill>
                <a:schemeClr val="bg1">
                  <a:lumMod val="50000"/>
                </a:schemeClr>
              </a:solidFill>
              <a:ln>
                <a:noFill/>
              </a:ln>
              <a:effectLst/>
            </c:spPr>
            <c:extLst>
              <c:ext xmlns:c16="http://schemas.microsoft.com/office/drawing/2014/chart" uri="{C3380CC4-5D6E-409C-BE32-E72D297353CC}">
                <c16:uniqueId val="{00000003-299B-4378-B6C6-FFF34C5DA383}"/>
              </c:ext>
            </c:extLst>
          </c:dPt>
          <c:dPt>
            <c:idx val="3"/>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2-299B-4378-B6C6-FFF34C5DA383}"/>
              </c:ext>
            </c:extLst>
          </c:dPt>
          <c:dPt>
            <c:idx val="4"/>
            <c:invertIfNegative val="0"/>
            <c:bubble3D val="0"/>
            <c:spPr>
              <a:solidFill>
                <a:srgbClr val="7030A0"/>
              </a:solidFill>
              <a:ln>
                <a:noFill/>
              </a:ln>
              <a:effectLst/>
            </c:spPr>
            <c:extLst>
              <c:ext xmlns:c16="http://schemas.microsoft.com/office/drawing/2014/chart" uri="{C3380CC4-5D6E-409C-BE32-E72D297353CC}">
                <c16:uniqueId val="{00000001-299B-4378-B6C6-FFF34C5DA383}"/>
              </c:ext>
            </c:extLst>
          </c:dPt>
          <c:cat>
            <c:strRef>
              <c:f>Sheet9!$A$4:$A$10</c:f>
              <c:strCache>
                <c:ptCount val="6"/>
                <c:pt idx="0">
                  <c:v>Email</c:v>
                </c:pt>
                <c:pt idx="1">
                  <c:v>Influencer</c:v>
                </c:pt>
                <c:pt idx="2">
                  <c:v>Radio</c:v>
                </c:pt>
                <c:pt idx="3">
                  <c:v>Search</c:v>
                </c:pt>
                <c:pt idx="4">
                  <c:v>Social Media</c:v>
                </c:pt>
                <c:pt idx="5">
                  <c:v>Unknown</c:v>
                </c:pt>
              </c:strCache>
            </c:strRef>
          </c:cat>
          <c:val>
            <c:numRef>
              <c:f>Sheet9!$B$4:$B$10</c:f>
              <c:numCache>
                <c:formatCode>\$#,##0.00</c:formatCode>
                <c:ptCount val="6"/>
                <c:pt idx="0">
                  <c:v>112384.86500000001</c:v>
                </c:pt>
                <c:pt idx="1">
                  <c:v>101777.985</c:v>
                </c:pt>
                <c:pt idx="2">
                  <c:v>109347.25499999998</c:v>
                </c:pt>
                <c:pt idx="3">
                  <c:v>210050.28499999992</c:v>
                </c:pt>
                <c:pt idx="4">
                  <c:v>233155.51500000001</c:v>
                </c:pt>
                <c:pt idx="5">
                  <c:v>54306.93</c:v>
                </c:pt>
              </c:numCache>
            </c:numRef>
          </c:val>
          <c:extLst>
            <c:ext xmlns:c16="http://schemas.microsoft.com/office/drawing/2014/chart" uri="{C3380CC4-5D6E-409C-BE32-E72D297353CC}">
              <c16:uniqueId val="{00000000-299B-4378-B6C6-FFF34C5DA383}"/>
            </c:ext>
          </c:extLst>
        </c:ser>
        <c:dLbls>
          <c:showLegendKey val="0"/>
          <c:showVal val="0"/>
          <c:showCatName val="0"/>
          <c:showSerName val="0"/>
          <c:showPercent val="0"/>
          <c:showBubbleSize val="0"/>
        </c:dLbls>
        <c:gapWidth val="219"/>
        <c:overlap val="-27"/>
        <c:axId val="721183504"/>
        <c:axId val="721186744"/>
      </c:barChart>
      <c:catAx>
        <c:axId val="72118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86744"/>
        <c:crosses val="autoZero"/>
        <c:auto val="1"/>
        <c:lblAlgn val="ctr"/>
        <c:lblOffset val="100"/>
        <c:noMultiLvlLbl val="0"/>
      </c:catAx>
      <c:valAx>
        <c:axId val="721186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8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[nimca.pptx (9)).xlsx]Sheet9!PivotTable24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col"/>
        <c:grouping val="clustered"/>
        <c:varyColors val="0"/>
        <c:ser>
          <c:idx val="0"/>
          <c:order val="0"/>
          <c:tx>
            <c:strRef>
              <c:f>Sheet9!$B$21</c:f>
              <c:strCache>
                <c:ptCount val="1"/>
                <c:pt idx="0">
                  <c:v>Total</c:v>
                </c:pt>
              </c:strCache>
            </c:strRef>
          </c:tx>
          <c:spPr>
            <a:solidFill>
              <a:srgbClr val="FF0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8D4D-47C7-AE82-6886F5521745}"/>
              </c:ext>
            </c:extLst>
          </c:dPt>
          <c:cat>
            <c:strRef>
              <c:f>Sheet9!$A$22:$A$24</c:f>
              <c:strCache>
                <c:ptCount val="2"/>
                <c:pt idx="0">
                  <c:v>2025</c:v>
                </c:pt>
                <c:pt idx="1">
                  <c:v>2026</c:v>
                </c:pt>
              </c:strCache>
            </c:strRef>
          </c:cat>
          <c:val>
            <c:numRef>
              <c:f>Sheet9!$B$22:$B$24</c:f>
              <c:numCache>
                <c:formatCode>General</c:formatCode>
                <c:ptCount val="2"/>
                <c:pt idx="0">
                  <c:v>190</c:v>
                </c:pt>
                <c:pt idx="1">
                  <c:v>103</c:v>
                </c:pt>
              </c:numCache>
            </c:numRef>
          </c:val>
          <c:extLst>
            <c:ext xmlns:c16="http://schemas.microsoft.com/office/drawing/2014/chart" uri="{C3380CC4-5D6E-409C-BE32-E72D297353CC}">
              <c16:uniqueId val="{00000000-8D4D-47C7-AE82-6886F5521745}"/>
            </c:ext>
          </c:extLst>
        </c:ser>
        <c:dLbls>
          <c:showLegendKey val="0"/>
          <c:showVal val="0"/>
          <c:showCatName val="0"/>
          <c:showSerName val="0"/>
          <c:showPercent val="0"/>
          <c:showBubbleSize val="0"/>
        </c:dLbls>
        <c:gapWidth val="219"/>
        <c:overlap val="-27"/>
        <c:axId val="624723808"/>
        <c:axId val="624728488"/>
      </c:barChart>
      <c:catAx>
        <c:axId val="6247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28488"/>
        <c:crosses val="autoZero"/>
        <c:auto val="1"/>
        <c:lblAlgn val="ctr"/>
        <c:lblOffset val="100"/>
        <c:noMultiLvlLbl val="0"/>
      </c:catAx>
      <c:valAx>
        <c:axId val="624728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[nimca.pptx (9)).xlsx]Dashboard1!PivotTable3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tx1">
              <a:lumMod val="95000"/>
              <a:lumOff val="5000"/>
            </a:schemeClr>
          </a:solidFill>
          <a:ln>
            <a:noFill/>
          </a:ln>
          <a:effectLst/>
        </c:spPr>
      </c:pivotFmt>
      <c:pivotFmt>
        <c:idx val="3"/>
        <c:spPr>
          <a:solidFill>
            <a:srgbClr val="92D050"/>
          </a:solidFill>
          <a:ln>
            <a:noFill/>
          </a:ln>
          <a:effectLst/>
        </c:spPr>
      </c:pivotFmt>
      <c:pivotFmt>
        <c:idx val="4"/>
        <c:spPr>
          <a:solidFill>
            <a:schemeClr val="bg1">
              <a:lumMod val="50000"/>
            </a:schemeClr>
          </a:solidFill>
          <a:ln>
            <a:noFill/>
          </a:ln>
          <a:effectLst/>
        </c:spPr>
      </c:pivotFmt>
      <c:pivotFmt>
        <c:idx val="5"/>
        <c:spPr>
          <a:solidFill>
            <a:srgbClr val="00B0F0"/>
          </a:solidFill>
          <a:ln>
            <a:noFill/>
          </a:ln>
          <a:effectLst/>
        </c:spPr>
      </c:pivotFmt>
    </c:pivotFmts>
    <c:plotArea>
      <c:layout/>
      <c:barChart>
        <c:barDir val="col"/>
        <c:grouping val="clustered"/>
        <c:varyColors val="0"/>
        <c:ser>
          <c:idx val="0"/>
          <c:order val="0"/>
          <c:tx>
            <c:strRef>
              <c:f>Dashboard1!$B$10</c:f>
              <c:strCache>
                <c:ptCount val="1"/>
                <c:pt idx="0">
                  <c:v>Total</c:v>
                </c:pt>
              </c:strCache>
            </c:strRef>
          </c:tx>
          <c:spPr>
            <a:solidFill>
              <a:srgbClr val="FF0000"/>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6-E9BD-4D64-A29C-D77DA6C5ACB7}"/>
              </c:ext>
            </c:extLst>
          </c:dPt>
          <c:dPt>
            <c:idx val="2"/>
            <c:invertIfNegative val="0"/>
            <c:bubble3D val="0"/>
            <c:spPr>
              <a:solidFill>
                <a:schemeClr val="bg1">
                  <a:lumMod val="50000"/>
                </a:schemeClr>
              </a:solidFill>
              <a:ln>
                <a:noFill/>
              </a:ln>
              <a:effectLst/>
            </c:spPr>
            <c:extLst>
              <c:ext xmlns:c16="http://schemas.microsoft.com/office/drawing/2014/chart" uri="{C3380CC4-5D6E-409C-BE32-E72D297353CC}">
                <c16:uniqueId val="{00000005-E9BD-4D64-A29C-D77DA6C5ACB7}"/>
              </c:ext>
            </c:extLst>
          </c:dPt>
          <c:dPt>
            <c:idx val="3"/>
            <c:invertIfNegative val="0"/>
            <c:bubble3D val="0"/>
            <c:spPr>
              <a:solidFill>
                <a:srgbClr val="FFC000"/>
              </a:solidFill>
              <a:ln>
                <a:noFill/>
              </a:ln>
              <a:effectLst/>
            </c:spPr>
            <c:extLst>
              <c:ext xmlns:c16="http://schemas.microsoft.com/office/drawing/2014/chart" uri="{C3380CC4-5D6E-409C-BE32-E72D297353CC}">
                <c16:uniqueId val="{00000002-E9BD-4D64-A29C-D77DA6C5ACB7}"/>
              </c:ext>
            </c:extLst>
          </c:dPt>
          <c:dPt>
            <c:idx val="4"/>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3-E9BD-4D64-A29C-D77DA6C5ACB7}"/>
              </c:ext>
            </c:extLst>
          </c:dPt>
          <c:dPt>
            <c:idx val="5"/>
            <c:invertIfNegative val="0"/>
            <c:bubble3D val="0"/>
            <c:spPr>
              <a:solidFill>
                <a:srgbClr val="92D050"/>
              </a:solidFill>
              <a:ln>
                <a:noFill/>
              </a:ln>
              <a:effectLst/>
            </c:spPr>
            <c:extLst>
              <c:ext xmlns:c16="http://schemas.microsoft.com/office/drawing/2014/chart" uri="{C3380CC4-5D6E-409C-BE32-E72D297353CC}">
                <c16:uniqueId val="{00000004-E9BD-4D64-A29C-D77DA6C5ACB7}"/>
              </c:ext>
            </c:extLst>
          </c:dPt>
          <c:cat>
            <c:strRef>
              <c:f>Dashboard1!$A$11:$A$17</c:f>
              <c:strCache>
                <c:ptCount val="6"/>
                <c:pt idx="0">
                  <c:v>Email</c:v>
                </c:pt>
                <c:pt idx="1">
                  <c:v>Influencer</c:v>
                </c:pt>
                <c:pt idx="2">
                  <c:v>Radio</c:v>
                </c:pt>
                <c:pt idx="3">
                  <c:v>Search</c:v>
                </c:pt>
                <c:pt idx="4">
                  <c:v>Social Media</c:v>
                </c:pt>
                <c:pt idx="5">
                  <c:v>Unknown</c:v>
                </c:pt>
              </c:strCache>
            </c:strRef>
          </c:cat>
          <c:val>
            <c:numRef>
              <c:f>Dashboard1!$B$11:$B$17</c:f>
              <c:numCache>
                <c:formatCode>General</c:formatCode>
                <c:ptCount val="6"/>
                <c:pt idx="0">
                  <c:v>5</c:v>
                </c:pt>
                <c:pt idx="1">
                  <c:v>3</c:v>
                </c:pt>
                <c:pt idx="2">
                  <c:v>6</c:v>
                </c:pt>
                <c:pt idx="3">
                  <c:v>8</c:v>
                </c:pt>
                <c:pt idx="4">
                  <c:v>8</c:v>
                </c:pt>
                <c:pt idx="5">
                  <c:v>2</c:v>
                </c:pt>
              </c:numCache>
            </c:numRef>
          </c:val>
          <c:extLst>
            <c:ext xmlns:c16="http://schemas.microsoft.com/office/drawing/2014/chart" uri="{C3380CC4-5D6E-409C-BE32-E72D297353CC}">
              <c16:uniqueId val="{00000000-E9BD-4D64-A29C-D77DA6C5ACB7}"/>
            </c:ext>
          </c:extLst>
        </c:ser>
        <c:dLbls>
          <c:showLegendKey val="0"/>
          <c:showVal val="0"/>
          <c:showCatName val="0"/>
          <c:showSerName val="0"/>
          <c:showPercent val="0"/>
          <c:showBubbleSize val="0"/>
        </c:dLbls>
        <c:gapWidth val="219"/>
        <c:overlap val="-27"/>
        <c:axId val="613537568"/>
        <c:axId val="613543688"/>
      </c:barChart>
      <c:catAx>
        <c:axId val="6135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43688"/>
        <c:crosses val="autoZero"/>
        <c:auto val="1"/>
        <c:lblAlgn val="ctr"/>
        <c:lblOffset val="100"/>
        <c:noMultiLvlLbl val="0"/>
      </c:catAx>
      <c:valAx>
        <c:axId val="613543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[nimca.pptx (9)).xlsx]Dashboard1!PivotTable20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Dashboard1!$J$10</c:f>
              <c:strCache>
                <c:ptCount val="1"/>
                <c:pt idx="0">
                  <c:v>Count of Region</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cat>
            <c:strRef>
              <c:f>Dashboard1!$I$11:$I$18</c:f>
              <c:strCache>
                <c:ptCount val="7"/>
                <c:pt idx="0">
                  <c:v>Baidoa</c:v>
                </c:pt>
                <c:pt idx="1">
                  <c:v>Bosaso</c:v>
                </c:pt>
                <c:pt idx="2">
                  <c:v>Garowe</c:v>
                </c:pt>
                <c:pt idx="3">
                  <c:v>Hargeisa</c:v>
                </c:pt>
                <c:pt idx="4">
                  <c:v>Kismayo</c:v>
                </c:pt>
                <c:pt idx="5">
                  <c:v>Mogadishu</c:v>
                </c:pt>
                <c:pt idx="6">
                  <c:v>Unknown</c:v>
                </c:pt>
              </c:strCache>
            </c:strRef>
          </c:cat>
          <c:val>
            <c:numRef>
              <c:f>Dashboard1!$J$11:$J$18</c:f>
              <c:numCache>
                <c:formatCode>General</c:formatCode>
                <c:ptCount val="7"/>
                <c:pt idx="0">
                  <c:v>9</c:v>
                </c:pt>
                <c:pt idx="1">
                  <c:v>11</c:v>
                </c:pt>
                <c:pt idx="2">
                  <c:v>12</c:v>
                </c:pt>
                <c:pt idx="3">
                  <c:v>18</c:v>
                </c:pt>
                <c:pt idx="4">
                  <c:v>11</c:v>
                </c:pt>
                <c:pt idx="5">
                  <c:v>36</c:v>
                </c:pt>
                <c:pt idx="6">
                  <c:v>6</c:v>
                </c:pt>
              </c:numCache>
            </c:numRef>
          </c:val>
          <c:extLst>
            <c:ext xmlns:c16="http://schemas.microsoft.com/office/drawing/2014/chart" uri="{C3380CC4-5D6E-409C-BE32-E72D297353CC}">
              <c16:uniqueId val="{00000000-B619-40C3-A3AD-187F1184472A}"/>
            </c:ext>
          </c:extLst>
        </c:ser>
        <c:ser>
          <c:idx val="1"/>
          <c:order val="1"/>
          <c:tx>
            <c:strRef>
              <c:f>Dashboard1!$K$10</c:f>
              <c:strCache>
                <c:ptCount val="1"/>
                <c:pt idx="0">
                  <c:v>Sum of Budget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cat>
            <c:strRef>
              <c:f>Dashboard1!$I$11:$I$18</c:f>
              <c:strCache>
                <c:ptCount val="7"/>
                <c:pt idx="0">
                  <c:v>Baidoa</c:v>
                </c:pt>
                <c:pt idx="1">
                  <c:v>Bosaso</c:v>
                </c:pt>
                <c:pt idx="2">
                  <c:v>Garowe</c:v>
                </c:pt>
                <c:pt idx="3">
                  <c:v>Hargeisa</c:v>
                </c:pt>
                <c:pt idx="4">
                  <c:v>Kismayo</c:v>
                </c:pt>
                <c:pt idx="5">
                  <c:v>Mogadishu</c:v>
                </c:pt>
                <c:pt idx="6">
                  <c:v>Unknown</c:v>
                </c:pt>
              </c:strCache>
            </c:strRef>
          </c:cat>
          <c:val>
            <c:numRef>
              <c:f>Dashboard1!$K$11:$K$18</c:f>
              <c:numCache>
                <c:formatCode>\$#,##0.00</c:formatCode>
                <c:ptCount val="7"/>
                <c:pt idx="0">
                  <c:v>25952.7</c:v>
                </c:pt>
                <c:pt idx="1">
                  <c:v>30320.474999999999</c:v>
                </c:pt>
                <c:pt idx="2">
                  <c:v>32950.06</c:v>
                </c:pt>
                <c:pt idx="3">
                  <c:v>57982.595000000001</c:v>
                </c:pt>
                <c:pt idx="4">
                  <c:v>24963.974999999999</c:v>
                </c:pt>
                <c:pt idx="5">
                  <c:v>103130.65000000001</c:v>
                </c:pt>
                <c:pt idx="6">
                  <c:v>10818.61</c:v>
                </c:pt>
              </c:numCache>
            </c:numRef>
          </c:val>
          <c:extLst>
            <c:ext xmlns:c16="http://schemas.microsoft.com/office/drawing/2014/chart" uri="{C3380CC4-5D6E-409C-BE32-E72D297353CC}">
              <c16:uniqueId val="{00000001-B619-40C3-A3AD-187F1184472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clusteredColumn" uniqueId="{C59237AA-E754-4DC6-9ED7-0CBEC5CC723D}">
          <cx:dataPt idx="0">
            <cx:spPr>
              <a:solidFill>
                <a:srgbClr val="C00000"/>
              </a:solidFill>
            </cx:spPr>
          </cx:dataPt>
          <cx:dataPt idx="1">
            <cx:spPr>
              <a:solidFill>
                <a:srgbClr val="1F497D">
                  <a:lumMod val="75000"/>
                </a:srgbClr>
              </a:solidFill>
            </cx:spPr>
          </cx:dataPt>
          <cx:dataPt idx="2">
            <cx:spPr>
              <a:solidFill>
                <a:srgbClr val="FF0000"/>
              </a:solidFill>
            </cx:spPr>
          </cx:dataPt>
          <cx:dataPt idx="3">
            <cx:spPr>
              <a:solidFill>
                <a:srgbClr val="00B0F0"/>
              </a:solidFill>
            </cx:spPr>
          </cx:dataPt>
          <cx:dataPt idx="5">
            <cx:spPr>
              <a:solidFill>
                <a:srgbClr val="8064A2">
                  <a:lumMod val="60000"/>
                  <a:lumOff val="40000"/>
                </a:srgbClr>
              </a:solidFill>
            </cx:spPr>
          </cx:dataPt>
          <cx:dataPt idx="7">
            <cx:spPr>
              <a:solidFill>
                <a:srgbClr val="8064A2">
                  <a:lumMod val="60000"/>
                  <a:lumOff val="40000"/>
                </a:srgbClr>
              </a:solidFill>
            </cx:spPr>
          </cx:dataPt>
          <cx:dataId val="0"/>
          <cx:layoutPr>
            <cx:aggregation/>
          </cx:layoutPr>
          <cx:axisId val="1"/>
        </cx:series>
        <cx:series layoutId="paretoLine" ownerIdx="0" uniqueId="{7A4ECADE-1D2D-4696-99F7-F4B31F933694}">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254000</xdr:colOff>
      <xdr:row>0</xdr:row>
      <xdr:rowOff>0</xdr:rowOff>
    </xdr:from>
    <xdr:to>
      <xdr:col>9</xdr:col>
      <xdr:colOff>222250</xdr:colOff>
      <xdr:row>12</xdr:row>
      <xdr:rowOff>57150</xdr:rowOff>
    </xdr:to>
    <xdr:graphicFrame macro="">
      <xdr:nvGraphicFramePr>
        <xdr:cNvPr id="2" name="Chart 1">
          <a:extLst>
            <a:ext uri="{FF2B5EF4-FFF2-40B4-BE49-F238E27FC236}">
              <a16:creationId xmlns:a16="http://schemas.microsoft.com/office/drawing/2014/main" id="{788D5547-20FD-B9F8-D224-77682593B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584200</xdr:colOff>
      <xdr:row>0</xdr:row>
      <xdr:rowOff>57150</xdr:rowOff>
    </xdr:from>
    <xdr:to>
      <xdr:col>12</xdr:col>
      <xdr:colOff>584200</xdr:colOff>
      <xdr:row>14</xdr:row>
      <xdr:rowOff>3175</xdr:rowOff>
    </xdr:to>
    <mc:AlternateContent xmlns:mc="http://schemas.openxmlformats.org/markup-compatibility/2006">
      <mc:Choice xmlns:a14="http://schemas.microsoft.com/office/drawing/2010/main" Requires="a14">
        <xdr:graphicFrame macro="">
          <xdr:nvGraphicFramePr>
            <xdr:cNvPr id="3" name="Channel">
              <a:extLst>
                <a:ext uri="{FF2B5EF4-FFF2-40B4-BE49-F238E27FC236}">
                  <a16:creationId xmlns:a16="http://schemas.microsoft.com/office/drawing/2014/main" id="{B01F0C35-83BC-1DC8-AAF4-679C33D85B2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71195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xdr:colOff>
      <xdr:row>15</xdr:row>
      <xdr:rowOff>0</xdr:rowOff>
    </xdr:from>
    <xdr:to>
      <xdr:col>6</xdr:col>
      <xdr:colOff>31750</xdr:colOff>
      <xdr:row>24</xdr:row>
      <xdr:rowOff>174625</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2028877C-AE31-52FD-88BB-5C8DAD54662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501900" y="2762250"/>
              <a:ext cx="1828800" cy="183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203200</xdr:colOff>
      <xdr:row>12</xdr:row>
      <xdr:rowOff>85725</xdr:rowOff>
    </xdr:from>
    <xdr:to>
      <xdr:col>12</xdr:col>
      <xdr:colOff>552450</xdr:colOff>
      <xdr:row>27</xdr:row>
      <xdr:rowOff>66675</xdr:rowOff>
    </xdr:to>
    <xdr:graphicFrame macro="">
      <xdr:nvGraphicFramePr>
        <xdr:cNvPr id="6" name="Chart 5">
          <a:extLst>
            <a:ext uri="{FF2B5EF4-FFF2-40B4-BE49-F238E27FC236}">
              <a16:creationId xmlns:a16="http://schemas.microsoft.com/office/drawing/2014/main" id="{38C5AD6F-993C-1767-3B58-222D853F9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13</xdr:row>
      <xdr:rowOff>130175</xdr:rowOff>
    </xdr:to>
    <mc:AlternateContent xmlns:mc="http://schemas.openxmlformats.org/markup-compatibility/2006">
      <mc:Choice xmlns:a14="http://schemas.microsoft.com/office/drawing/2010/main" Requires="a14">
        <xdr:graphicFrame macro="">
          <xdr:nvGraphicFramePr>
            <xdr:cNvPr id="2" name="Channel 1">
              <a:extLst>
                <a:ext uri="{FF2B5EF4-FFF2-40B4-BE49-F238E27FC236}">
                  <a16:creationId xmlns:a16="http://schemas.microsoft.com/office/drawing/2014/main" id="{003D9176-16CD-47BB-8258-DEF49A65590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241300</xdr:colOff>
      <xdr:row>0</xdr:row>
      <xdr:rowOff>0</xdr:rowOff>
    </xdr:from>
    <xdr:to>
      <xdr:col>9</xdr:col>
      <xdr:colOff>419100</xdr:colOff>
      <xdr:row>10</xdr:row>
      <xdr:rowOff>88900</xdr:rowOff>
    </xdr:to>
    <xdr:graphicFrame macro="">
      <xdr:nvGraphicFramePr>
        <xdr:cNvPr id="3" name="Chart 2">
          <a:extLst>
            <a:ext uri="{FF2B5EF4-FFF2-40B4-BE49-F238E27FC236}">
              <a16:creationId xmlns:a16="http://schemas.microsoft.com/office/drawing/2014/main" id="{1F8C1F01-CA3C-4942-9CE6-AB4E93795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76200</xdr:rowOff>
    </xdr:from>
    <xdr:to>
      <xdr:col>3</xdr:col>
      <xdr:colOff>0</xdr:colOff>
      <xdr:row>23</xdr:row>
      <xdr:rowOff>66675</xdr:rowOff>
    </xdr:to>
    <mc:AlternateContent xmlns:mc="http://schemas.openxmlformats.org/markup-compatibility/2006">
      <mc:Choice xmlns:a14="http://schemas.microsoft.com/office/drawing/2010/main" Requires="a14">
        <xdr:graphicFrame macro="">
          <xdr:nvGraphicFramePr>
            <xdr:cNvPr id="4" name="Region 3">
              <a:extLst>
                <a:ext uri="{FF2B5EF4-FFF2-40B4-BE49-F238E27FC236}">
                  <a16:creationId xmlns:a16="http://schemas.microsoft.com/office/drawing/2014/main" id="{2FD97C08-DE6D-4174-896E-1DCF78C5A02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2470150"/>
              <a:ext cx="1828800" cy="183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171450</xdr:colOff>
      <xdr:row>10</xdr:row>
      <xdr:rowOff>69850</xdr:rowOff>
    </xdr:from>
    <xdr:to>
      <xdr:col>10</xdr:col>
      <xdr:colOff>520700</xdr:colOff>
      <xdr:row>21</xdr:row>
      <xdr:rowOff>50800</xdr:rowOff>
    </xdr:to>
    <xdr:graphicFrame macro="">
      <xdr:nvGraphicFramePr>
        <xdr:cNvPr id="5" name="Chart 4">
          <a:extLst>
            <a:ext uri="{FF2B5EF4-FFF2-40B4-BE49-F238E27FC236}">
              <a16:creationId xmlns:a16="http://schemas.microsoft.com/office/drawing/2014/main" id="{636F15D9-15CA-49AF-A963-9B49DDF05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30</xdr:row>
      <xdr:rowOff>85839</xdr:rowOff>
    </xdr:from>
    <xdr:to>
      <xdr:col>5</xdr:col>
      <xdr:colOff>578386</xdr:colOff>
      <xdr:row>45</xdr:row>
      <xdr:rowOff>74822</xdr:rowOff>
    </xdr:to>
    <xdr:graphicFrame macro="">
      <xdr:nvGraphicFramePr>
        <xdr:cNvPr id="5" name="Chart 4">
          <a:extLst>
            <a:ext uri="{FF2B5EF4-FFF2-40B4-BE49-F238E27FC236}">
              <a16:creationId xmlns:a16="http://schemas.microsoft.com/office/drawing/2014/main" id="{9C542D57-0767-9F3D-6C2B-16590D2DA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525597</xdr:colOff>
      <xdr:row>6</xdr:row>
      <xdr:rowOff>162344</xdr:rowOff>
    </xdr:from>
    <xdr:to>
      <xdr:col>14</xdr:col>
      <xdr:colOff>1524765</xdr:colOff>
      <xdr:row>21</xdr:row>
      <xdr:rowOff>151327</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1E0CFE73-BED8-CAAB-4E2B-B8B36EE629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713970" y="1264031"/>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205878</xdr:colOff>
      <xdr:row>42</xdr:row>
      <xdr:rowOff>115295</xdr:rowOff>
    </xdr:from>
    <xdr:to>
      <xdr:col>11</xdr:col>
      <xdr:colOff>91425</xdr:colOff>
      <xdr:row>56</xdr:row>
      <xdr:rowOff>68817</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F1255BAD-FFD9-F5B0-A0DE-A1E6345BC6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43950" y="782710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274733</xdr:colOff>
      <xdr:row>35</xdr:row>
      <xdr:rowOff>128454</xdr:rowOff>
    </xdr:from>
    <xdr:to>
      <xdr:col>14</xdr:col>
      <xdr:colOff>680521</xdr:colOff>
      <xdr:row>49</xdr:row>
      <xdr:rowOff>81977</xdr:rowOff>
    </xdr:to>
    <mc:AlternateContent xmlns:mc="http://schemas.openxmlformats.org/markup-compatibility/2006">
      <mc:Choice xmlns:a14="http://schemas.microsoft.com/office/drawing/2010/main" Requires="a14">
        <xdr:graphicFrame macro="">
          <xdr:nvGraphicFramePr>
            <xdr:cNvPr id="17" name="Month">
              <a:extLst>
                <a:ext uri="{FF2B5EF4-FFF2-40B4-BE49-F238E27FC236}">
                  <a16:creationId xmlns:a16="http://schemas.microsoft.com/office/drawing/2014/main" id="{3FA58013-F901-C960-FA7A-20A3A519B90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905878" y="65549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590627</xdr:colOff>
      <xdr:row>18</xdr:row>
      <xdr:rowOff>124091</xdr:rowOff>
    </xdr:from>
    <xdr:to>
      <xdr:col>10</xdr:col>
      <xdr:colOff>205036</xdr:colOff>
      <xdr:row>33</xdr:row>
      <xdr:rowOff>113074</xdr:rowOff>
    </xdr:to>
    <xdr:graphicFrame macro="">
      <xdr:nvGraphicFramePr>
        <xdr:cNvPr id="19" name="Chart 18">
          <a:extLst>
            <a:ext uri="{FF2B5EF4-FFF2-40B4-BE49-F238E27FC236}">
              <a16:creationId xmlns:a16="http://schemas.microsoft.com/office/drawing/2014/main" id="{63099EAD-26A8-BF45-FE1D-601B12F88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438914</xdr:colOff>
      <xdr:row>42</xdr:row>
      <xdr:rowOff>1912</xdr:rowOff>
    </xdr:from>
    <xdr:to>
      <xdr:col>13</xdr:col>
      <xdr:colOff>117894</xdr:colOff>
      <xdr:row>55</xdr:row>
      <xdr:rowOff>139049</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645BBDC9-B113-C705-8C2A-FBB19976CC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20239" y="771371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1068178</xdr:colOff>
      <xdr:row>42</xdr:row>
      <xdr:rowOff>103283</xdr:rowOff>
    </xdr:from>
    <xdr:to>
      <xdr:col>8</xdr:col>
      <xdr:colOff>770111</xdr:colOff>
      <xdr:row>56</xdr:row>
      <xdr:rowOff>56805</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58BF91C2-1E90-8F55-CAEB-7808ACBBDD7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76612" y="781509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ca" refreshedDate="46259.66681840278" createdVersion="8" refreshedVersion="8" minRefreshableVersion="3" recordCount="293" xr:uid="{56E43EF4-7956-430D-B3F3-780C2ACDFBAA}">
  <cacheSource type="worksheet">
    <worksheetSource name="CleanMarketingData"/>
  </cacheSource>
  <cacheFields count="13">
    <cacheField name="Campaign_ID" numFmtId="0">
      <sharedItems/>
    </cacheField>
    <cacheField name="Start_Date" numFmtId="164">
      <sharedItems containsSemiMixedTypes="0" containsNonDate="0" containsDate="1" containsString="0" minDate="2025-01-03T00:00:00" maxDate="2026-07-30T00:00:00"/>
    </cacheField>
    <cacheField name="Channel" numFmtId="0">
      <sharedItems count="6">
        <s v="Search"/>
        <s v="Unknown"/>
        <s v="Social Media"/>
        <s v="Influencer"/>
        <s v="Email"/>
        <s v="Radio"/>
      </sharedItems>
    </cacheField>
    <cacheField name="Region" numFmtId="0">
      <sharedItems count="7">
        <s v="Mogadishu"/>
        <s v="Kismayo"/>
        <s v="Hargeisa"/>
        <s v="Unknown"/>
        <s v="Garowe"/>
        <s v="Baidoa"/>
        <s v="Bosaso"/>
      </sharedItems>
    </cacheField>
    <cacheField name="Budget" numFmtId="165">
      <sharedItems containsSemiMixedTypes="0" containsString="0" containsNumber="1" minValue="-9" maxValue="10024"/>
    </cacheField>
    <cacheField name="Leads" numFmtId="0">
      <sharedItems containsSemiMixedTypes="0" containsString="0" containsNumber="1" containsInteger="1" minValue="34" maxValue="2020"/>
    </cacheField>
    <cacheField name="Conversions" numFmtId="0">
      <sharedItems containsSemiMixedTypes="0" containsString="0" containsNumber="1" containsInteger="1" minValue="-4" maxValue="417"/>
    </cacheField>
    <cacheField name="Year" numFmtId="0">
      <sharedItems containsSemiMixedTypes="0" containsString="0" containsNumber="1" containsInteger="1" minValue="2025" maxValue="2026"/>
    </cacheField>
    <cacheField name="Month" numFmtId="0">
      <sharedItems containsSemiMixedTypes="0" containsString="0" containsNumber="1" containsInteger="1" minValue="1" maxValue="12"/>
    </cacheField>
    <cacheField name="Conversion_Rate" numFmtId="166">
      <sharedItems containsSemiMixedTypes="0" containsString="0" containsNumber="1" minValue="-7.6923076923076901E-3" maxValue="1"/>
    </cacheField>
    <cacheField name="Campaign_Performance" numFmtId="0">
      <sharedItems/>
    </cacheField>
    <cacheField name="Cost_per_Lead" numFmtId="165">
      <sharedItems containsSemiMixedTypes="0" containsString="0" containsNumber="1" minValue="-1.23626373626374E-2" maxValue="45.563636363636398"/>
    </cacheField>
    <cacheField name="Cost_per_Conversion" numFmtId="165">
      <sharedItems containsSemiMixedTypes="0" containsString="0" containsNumber="1" minValue="-0.25" maxValue="313.25"/>
    </cacheField>
  </cacheFields>
  <extLst>
    <ext xmlns:x14="http://schemas.microsoft.com/office/spreadsheetml/2009/9/main" uri="{725AE2AE-9491-48be-B2B4-4EB974FC3084}">
      <x14:pivotCacheDefinition pivotCacheId="8173952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ca" refreshedDate="46259.668270717593" createdVersion="8" refreshedVersion="8" minRefreshableVersion="3" recordCount="293" xr:uid="{98E239A5-3204-4711-AAC7-F80C22972500}">
  <cacheSource type="worksheet">
    <worksheetSource name="CleanMarketingData"/>
  </cacheSource>
  <cacheFields count="13">
    <cacheField name="Campaign_ID" numFmtId="0">
      <sharedItems/>
    </cacheField>
    <cacheField name="Start_Date" numFmtId="164">
      <sharedItems containsSemiMixedTypes="0" containsNonDate="0" containsDate="1" containsString="0" minDate="2025-01-03T00:00:00" maxDate="2026-07-30T00:00:00"/>
    </cacheField>
    <cacheField name="Channel" numFmtId="0">
      <sharedItems/>
    </cacheField>
    <cacheField name="Region" numFmtId="0">
      <sharedItems count="7">
        <s v="Mogadishu"/>
        <s v="Kismayo"/>
        <s v="Hargeisa"/>
        <s v="Unknown"/>
        <s v="Garowe"/>
        <s v="Baidoa"/>
        <s v="Bosaso"/>
      </sharedItems>
    </cacheField>
    <cacheField name="Budget" numFmtId="165">
      <sharedItems containsSemiMixedTypes="0" containsString="0" containsNumber="1" minValue="-9" maxValue="10024"/>
    </cacheField>
    <cacheField name="Leads" numFmtId="0">
      <sharedItems containsSemiMixedTypes="0" containsString="0" containsNumber="1" containsInteger="1" minValue="34" maxValue="2020"/>
    </cacheField>
    <cacheField name="Conversions" numFmtId="0">
      <sharedItems containsSemiMixedTypes="0" containsString="0" containsNumber="1" containsInteger="1" minValue="-4" maxValue="417"/>
    </cacheField>
    <cacheField name="Year" numFmtId="0">
      <sharedItems containsSemiMixedTypes="0" containsString="0" containsNumber="1" containsInteger="1" minValue="2025" maxValue="2026"/>
    </cacheField>
    <cacheField name="Month" numFmtId="0">
      <sharedItems containsSemiMixedTypes="0" containsString="0" containsNumber="1" containsInteger="1" minValue="1" maxValue="12" count="12">
        <n v="2"/>
        <n v="6"/>
        <n v="5"/>
        <n v="12"/>
        <n v="3"/>
        <n v="4"/>
        <n v="8"/>
        <n v="1"/>
        <n v="9"/>
        <n v="7"/>
        <n v="10"/>
        <n v="11"/>
      </sharedItems>
    </cacheField>
    <cacheField name="Conversion_Rate" numFmtId="166">
      <sharedItems containsSemiMixedTypes="0" containsString="0" containsNumber="1" minValue="-7.6923076923076901E-3" maxValue="1"/>
    </cacheField>
    <cacheField name="Campaign_Performance" numFmtId="0">
      <sharedItems/>
    </cacheField>
    <cacheField name="Cost_per_Lead" numFmtId="165">
      <sharedItems containsSemiMixedTypes="0" containsString="0" containsNumber="1" minValue="-1.23626373626374E-2" maxValue="45.563636363636398"/>
    </cacheField>
    <cacheField name="Cost_per_Conversion" numFmtId="165">
      <sharedItems containsSemiMixedTypes="0" containsString="0" containsNumber="1" minValue="-0.25" maxValue="313.25"/>
    </cacheField>
  </cacheFields>
  <extLst>
    <ext xmlns:x14="http://schemas.microsoft.com/office/spreadsheetml/2009/9/main" uri="{725AE2AE-9491-48be-B2B4-4EB974FC3084}">
      <x14:pivotCacheDefinition pivotCacheId="5355788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ca" refreshedDate="46259.672703703705" createdVersion="8" refreshedVersion="8" minRefreshableVersion="3" recordCount="293" xr:uid="{374C024F-EC11-40C7-8EEA-6041F902B6DC}">
  <cacheSource type="worksheet">
    <worksheetSource name="CleanMarketingData"/>
  </cacheSource>
  <cacheFields count="13">
    <cacheField name="Campaign_ID" numFmtId="0">
      <sharedItems/>
    </cacheField>
    <cacheField name="Start_Date" numFmtId="164">
      <sharedItems containsSemiMixedTypes="0" containsNonDate="0" containsDate="1" containsString="0" minDate="2025-01-03T00:00:00" maxDate="2026-07-30T00:00:00"/>
    </cacheField>
    <cacheField name="Channel" numFmtId="0">
      <sharedItems count="6">
        <s v="Search"/>
        <s v="Unknown"/>
        <s v="Social Media"/>
        <s v="Influencer"/>
        <s v="Email"/>
        <s v="Radio"/>
      </sharedItems>
    </cacheField>
    <cacheField name="Region" numFmtId="0">
      <sharedItems count="7">
        <s v="Mogadishu"/>
        <s v="Kismayo"/>
        <s v="Hargeisa"/>
        <s v="Unknown"/>
        <s v="Garowe"/>
        <s v="Baidoa"/>
        <s v="Bosaso"/>
      </sharedItems>
    </cacheField>
    <cacheField name="Budget" numFmtId="165">
      <sharedItems containsSemiMixedTypes="0" containsString="0" containsNumber="1" minValue="-9" maxValue="10024"/>
    </cacheField>
    <cacheField name="Leads" numFmtId="0">
      <sharedItems containsSemiMixedTypes="0" containsString="0" containsNumber="1" containsInteger="1" minValue="34" maxValue="2020"/>
    </cacheField>
    <cacheField name="Conversions" numFmtId="0">
      <sharedItems containsSemiMixedTypes="0" containsString="0" containsNumber="1" containsInteger="1" minValue="-4" maxValue="417"/>
    </cacheField>
    <cacheField name="Year" numFmtId="0">
      <sharedItems containsSemiMixedTypes="0" containsString="0" containsNumber="1" containsInteger="1" minValue="2025" maxValue="2026" count="2">
        <n v="2026"/>
        <n v="2025"/>
      </sharedItems>
    </cacheField>
    <cacheField name="Month" numFmtId="0">
      <sharedItems containsSemiMixedTypes="0" containsString="0" containsNumber="1" containsInteger="1" minValue="1" maxValue="12"/>
    </cacheField>
    <cacheField name="Conversion_Rate" numFmtId="166">
      <sharedItems containsSemiMixedTypes="0" containsString="0" containsNumber="1" minValue="-7.6923076923076901E-3" maxValue="1"/>
    </cacheField>
    <cacheField name="Campaign_Performance" numFmtId="0">
      <sharedItems/>
    </cacheField>
    <cacheField name="Cost_per_Lead" numFmtId="165">
      <sharedItems containsSemiMixedTypes="0" containsString="0" containsNumber="1" minValue="-1.23626373626374E-2" maxValue="45.563636363636398"/>
    </cacheField>
    <cacheField name="Cost_per_Conversion" numFmtId="165">
      <sharedItems containsSemiMixedTypes="0" containsString="0" containsNumber="1" minValue="-0.25" maxValue="313.25"/>
    </cacheField>
  </cacheFields>
  <extLst>
    <ext xmlns:x14="http://schemas.microsoft.com/office/spreadsheetml/2009/9/main" uri="{725AE2AE-9491-48be-B2B4-4EB974FC3084}">
      <x14:pivotCacheDefinition pivotCacheId="1245648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MP0268"/>
    <d v="2026-02-24T00:00:00"/>
    <x v="0"/>
    <x v="0"/>
    <n v="1902.8"/>
    <n v="258"/>
    <n v="58"/>
    <n v="2026"/>
    <n v="2"/>
    <n v="0.224806201550388"/>
    <s v="High"/>
    <n v="7.3751937984496099"/>
    <n v="32.806896551724101"/>
  </r>
  <r>
    <s v="CMP0077"/>
    <d v="2026-06-13T00:00:00"/>
    <x v="1"/>
    <x v="0"/>
    <n v="2408.15"/>
    <n v="408"/>
    <n v="89"/>
    <n v="2026"/>
    <n v="6"/>
    <n v="0.21813725490196101"/>
    <s v="High"/>
    <n v="5.9023284313725499"/>
    <n v="27.057865168539301"/>
  </r>
  <r>
    <s v="CMP0207"/>
    <d v="2026-05-11T00:00:00"/>
    <x v="1"/>
    <x v="1"/>
    <n v="2635.33"/>
    <n v="573"/>
    <n v="100"/>
    <n v="2026"/>
    <n v="5"/>
    <n v="0.17452006980802801"/>
    <s v="Low"/>
    <n v="4.5991797556718996"/>
    <n v="26.353300000000001"/>
  </r>
  <r>
    <s v="NEW0001"/>
    <d v="2025-12-14T00:00:00"/>
    <x v="2"/>
    <x v="1"/>
    <n v="3036.06"/>
    <n v="350"/>
    <n v="61"/>
    <n v="2025"/>
    <n v="12"/>
    <n v="0.17428571428571399"/>
    <s v="Low"/>
    <n v="8.6744571428571398"/>
    <n v="49.7714754098361"/>
  </r>
  <r>
    <s v="CMP0089"/>
    <d v="2025-03-16T00:00:00"/>
    <x v="2"/>
    <x v="2"/>
    <n v="4857.8900000000003"/>
    <n v="742"/>
    <n v="131"/>
    <n v="2025"/>
    <n v="3"/>
    <n v="0.17654986522911101"/>
    <s v="Low"/>
    <n v="6.5470215633423203"/>
    <n v="37.0831297709924"/>
  </r>
  <r>
    <s v="CMP0098"/>
    <d v="2025-04-25T00:00:00"/>
    <x v="3"/>
    <x v="3"/>
    <n v="2904.04"/>
    <n v="2013"/>
    <n v="81"/>
    <n v="2025"/>
    <n v="4"/>
    <n v="4.0238450074515701E-2"/>
    <s v="Low"/>
    <n v="1.44264282165922"/>
    <n v="35.852345679012302"/>
  </r>
  <r>
    <s v="CMP0206"/>
    <d v="2026-06-12T00:00:00"/>
    <x v="0"/>
    <x v="4"/>
    <n v="518.97"/>
    <n v="101"/>
    <n v="20"/>
    <n v="2026"/>
    <n v="6"/>
    <n v="0.198019801980198"/>
    <s v="High"/>
    <n v="5.13831683168317"/>
    <n v="25.948499999999999"/>
  </r>
  <r>
    <s v="CMP0094"/>
    <d v="2026-05-04T00:00:00"/>
    <x v="3"/>
    <x v="2"/>
    <n v="3151.53"/>
    <n v="510"/>
    <n v="74"/>
    <n v="2026"/>
    <n v="5"/>
    <n v="0.14509803921568601"/>
    <s v="Low"/>
    <n v="6.1794705882352901"/>
    <n v="42.588243243243298"/>
  </r>
  <r>
    <s v="CMP0270"/>
    <d v="2026-03-12T00:00:00"/>
    <x v="4"/>
    <x v="1"/>
    <n v="2558.6"/>
    <n v="542"/>
    <n v="109"/>
    <n v="2026"/>
    <n v="3"/>
    <n v="0.201107011070111"/>
    <s v="High"/>
    <n v="4.7206642066420699"/>
    <n v="23.473394495412801"/>
  </r>
  <r>
    <s v="CMP0132"/>
    <d v="2025-08-17T00:00:00"/>
    <x v="0"/>
    <x v="4"/>
    <n v="2993.64"/>
    <n v="602"/>
    <n v="170"/>
    <n v="2025"/>
    <n v="8"/>
    <n v="0.282392026578073"/>
    <s v="High"/>
    <n v="4.97282392026578"/>
    <n v="17.609647058823501"/>
  </r>
  <r>
    <s v="CMP0169"/>
    <d v="2025-04-10T00:00:00"/>
    <x v="2"/>
    <x v="2"/>
    <n v="3988.62"/>
    <n v="656"/>
    <n v="121"/>
    <n v="2025"/>
    <n v="4"/>
    <n v="0.18445121951219501"/>
    <s v="Low"/>
    <n v="6.0802134146341498"/>
    <n v="32.963801652892599"/>
  </r>
  <r>
    <s v="CMP0082"/>
    <d v="2025-08-19T00:00:00"/>
    <x v="0"/>
    <x v="3"/>
    <n v="4275.45"/>
    <n v="604"/>
    <n v="169"/>
    <n v="2025"/>
    <n v="8"/>
    <n v="0.27980132450331102"/>
    <s v="High"/>
    <n v="7.0785596026490101"/>
    <n v="25.298520710059201"/>
  </r>
  <r>
    <s v="CMP0179"/>
    <d v="2026-05-02T00:00:00"/>
    <x v="0"/>
    <x v="4"/>
    <n v="2086.02"/>
    <n v="273"/>
    <n v="88"/>
    <n v="2026"/>
    <n v="5"/>
    <n v="0.32234432234432198"/>
    <s v="High"/>
    <n v="7.6410989010988999"/>
    <n v="23.704772727272701"/>
  </r>
  <r>
    <s v="CMP0083"/>
    <d v="2026-03-19T00:00:00"/>
    <x v="0"/>
    <x v="4"/>
    <n v="2263.59"/>
    <n v="309"/>
    <n v="69"/>
    <n v="2026"/>
    <n v="3"/>
    <n v="0.223300970873786"/>
    <s v="High"/>
    <n v="7.3255339805825299"/>
    <n v="32.805652173913103"/>
  </r>
  <r>
    <s v="CMP0141"/>
    <d v="2025-08-19T00:00:00"/>
    <x v="0"/>
    <x v="4"/>
    <n v="2431.87"/>
    <n v="576"/>
    <n v="181"/>
    <n v="2025"/>
    <n v="8"/>
    <n v="0.31423611111111099"/>
    <s v="High"/>
    <n v="4.2219965277777796"/>
    <n v="13.4357458563536"/>
  </r>
  <r>
    <s v="CMP0005"/>
    <d v="2025-01-24T00:00:00"/>
    <x v="0"/>
    <x v="0"/>
    <n v="2869.4949999999999"/>
    <n v="433"/>
    <n v="113"/>
    <n v="2025"/>
    <n v="1"/>
    <n v="0.26096997690531198"/>
    <s v="High"/>
    <n v="6.6270092378752903"/>
    <n v="25.393761061946901"/>
  </r>
  <r>
    <s v="CMP0212"/>
    <d v="2025-09-03T00:00:00"/>
    <x v="1"/>
    <x v="0"/>
    <n v="3520.5"/>
    <n v="659"/>
    <n v="130"/>
    <n v="2025"/>
    <n v="9"/>
    <n v="0.19726858877086501"/>
    <s v="High"/>
    <n v="5.34218512898331"/>
    <n v="27.080769230769199"/>
  </r>
  <r>
    <s v="CMP0049"/>
    <d v="2026-05-11T00:00:00"/>
    <x v="1"/>
    <x v="5"/>
    <n v="4913.8"/>
    <n v="799"/>
    <n v="60"/>
    <n v="2026"/>
    <n v="5"/>
    <n v="7.5093867334167702E-2"/>
    <s v="Low"/>
    <n v="6.1499374217772198"/>
    <n v="81.896666666666704"/>
  </r>
  <r>
    <s v="CMP0281"/>
    <d v="2025-07-22T00:00:00"/>
    <x v="4"/>
    <x v="3"/>
    <n v="3753.98"/>
    <n v="334"/>
    <n v="55"/>
    <n v="2025"/>
    <n v="7"/>
    <n v="0.164670658682635"/>
    <s v="Low"/>
    <n v="11.2394610778443"/>
    <n v="68.254181818181806"/>
  </r>
  <r>
    <s v="CMP0061"/>
    <d v="2025-10-25T00:00:00"/>
    <x v="0"/>
    <x v="0"/>
    <n v="457.9"/>
    <n v="42"/>
    <n v="10"/>
    <n v="2025"/>
    <n v="10"/>
    <n v="0.238095238095238"/>
    <s v="High"/>
    <n v="10.902380952381"/>
    <n v="45.79"/>
  </r>
  <r>
    <s v="CMP0125"/>
    <d v="2026-07-25T00:00:00"/>
    <x v="0"/>
    <x v="2"/>
    <n v="4532.21"/>
    <n v="843"/>
    <n v="163"/>
    <n v="2026"/>
    <n v="7"/>
    <n v="0.193357058125741"/>
    <s v="High"/>
    <n v="5.3762870699881402"/>
    <n v="27.804969325153401"/>
  </r>
  <r>
    <s v="CMP0266"/>
    <d v="2025-06-03T00:00:00"/>
    <x v="2"/>
    <x v="2"/>
    <n v="4633.21"/>
    <n v="426"/>
    <n v="92"/>
    <n v="2025"/>
    <n v="6"/>
    <n v="0.215962441314554"/>
    <s v="High"/>
    <n v="10.8760798122066"/>
    <n v="50.360978260869601"/>
  </r>
  <r>
    <s v="CMP0050"/>
    <d v="2026-05-26T00:00:00"/>
    <x v="2"/>
    <x v="0"/>
    <n v="2503.33"/>
    <n v="297"/>
    <n v="53"/>
    <n v="2026"/>
    <n v="5"/>
    <n v="0.178451178451178"/>
    <s v="Low"/>
    <n v="8.4287205387205404"/>
    <n v="47.232641509434004"/>
  </r>
  <r>
    <s v="CMP0275"/>
    <d v="2025-10-11T00:00:00"/>
    <x v="3"/>
    <x v="0"/>
    <n v="2370.21"/>
    <n v="553"/>
    <n v="120"/>
    <n v="2025"/>
    <n v="10"/>
    <n v="0.21699819168173601"/>
    <s v="High"/>
    <n v="4.2860940325497303"/>
    <n v="19.751750000000001"/>
  </r>
  <r>
    <s v="CMP0160"/>
    <d v="2025-06-26T00:00:00"/>
    <x v="4"/>
    <x v="6"/>
    <n v="4663.53"/>
    <n v="641"/>
    <n v="109"/>
    <n v="2025"/>
    <n v="6"/>
    <n v="0.17004680187207499"/>
    <s v="Low"/>
    <n v="7.2753978159126396"/>
    <n v="42.7846788990826"/>
  </r>
  <r>
    <s v="CMP0239"/>
    <d v="2025-12-14T00:00:00"/>
    <x v="3"/>
    <x v="0"/>
    <n v="658.72"/>
    <n v="52"/>
    <n v="8"/>
    <n v="2025"/>
    <n v="12"/>
    <n v="0.15384615384615399"/>
    <s v="Low"/>
    <n v="12.667692307692301"/>
    <n v="82.34"/>
  </r>
  <r>
    <s v="CMP0119"/>
    <d v="2026-02-03T00:00:00"/>
    <x v="3"/>
    <x v="0"/>
    <n v="2413.8000000000002"/>
    <n v="574"/>
    <n v="95"/>
    <n v="2026"/>
    <n v="2"/>
    <n v="0.16550522648083599"/>
    <s v="Low"/>
    <n v="4.2052264808362398"/>
    <n v="25.408421052631599"/>
  </r>
  <r>
    <s v="CMP0232"/>
    <d v="2025-04-24T00:00:00"/>
    <x v="2"/>
    <x v="5"/>
    <n v="1496.59"/>
    <n v="223"/>
    <n v="36"/>
    <n v="2025"/>
    <n v="4"/>
    <n v="0.161434977578475"/>
    <s v="Low"/>
    <n v="6.7111659192825099"/>
    <n v="41.571944444444398"/>
  </r>
  <r>
    <s v="CMP0262"/>
    <d v="2026-01-28T00:00:00"/>
    <x v="3"/>
    <x v="3"/>
    <n v="3057.48"/>
    <n v="503"/>
    <n v="73"/>
    <n v="2026"/>
    <n v="1"/>
    <n v="0.145129224652088"/>
    <s v="Low"/>
    <n v="6.0784890656063597"/>
    <n v="41.8832876712329"/>
  </r>
  <r>
    <s v="CMP0291"/>
    <d v="2025-01-05T00:00:00"/>
    <x v="0"/>
    <x v="6"/>
    <n v="2869.4949999999999"/>
    <n v="118"/>
    <n v="25"/>
    <n v="2025"/>
    <n v="1"/>
    <n v="0.21186440677966101"/>
    <s v="High"/>
    <n v="24.317754237288099"/>
    <n v="114.77979999999999"/>
  </r>
  <r>
    <s v="CMP0152"/>
    <d v="2025-10-11T00:00:00"/>
    <x v="2"/>
    <x v="0"/>
    <n v="4668.7299999999996"/>
    <n v="537"/>
    <n v="48"/>
    <n v="2025"/>
    <n v="10"/>
    <n v="8.9385474860335198E-2"/>
    <s v="Low"/>
    <n v="8.69409683426443"/>
    <n v="97.265208333333305"/>
  </r>
  <r>
    <s v="CMP0090"/>
    <d v="2025-05-23T00:00:00"/>
    <x v="3"/>
    <x v="2"/>
    <n v="994.02"/>
    <n v="426"/>
    <n v="33"/>
    <n v="2025"/>
    <n v="5"/>
    <n v="7.7464788732394402E-2"/>
    <s v="Low"/>
    <n v="2.3333802816901401"/>
    <n v="30.121818181818199"/>
  </r>
  <r>
    <s v="CMP0271"/>
    <d v="2025-11-27T00:00:00"/>
    <x v="0"/>
    <x v="4"/>
    <n v="4865.12"/>
    <n v="463"/>
    <n v="137"/>
    <n v="2025"/>
    <n v="11"/>
    <n v="0.29589632829373702"/>
    <s v="High"/>
    <n v="10.507818574513999"/>
    <n v="35.511824817518303"/>
  </r>
  <r>
    <s v="CMP0227"/>
    <d v="2026-04-19T00:00:00"/>
    <x v="4"/>
    <x v="0"/>
    <n v="2693.81"/>
    <n v="533"/>
    <n v="83"/>
    <n v="2026"/>
    <n v="4"/>
    <n v="0.155722326454034"/>
    <s v="Low"/>
    <n v="5.0540525328330199"/>
    <n v="32.455542168674697"/>
  </r>
  <r>
    <s v="CMP0238"/>
    <d v="2025-01-21T00:00:00"/>
    <x v="2"/>
    <x v="2"/>
    <n v="2861.6"/>
    <n v="388"/>
    <n v="63"/>
    <n v="2025"/>
    <n v="1"/>
    <n v="0.16237113402061901"/>
    <s v="Low"/>
    <n v="7.3752577319587598"/>
    <n v="45.422222222222203"/>
  </r>
  <r>
    <s v="CMP0107"/>
    <d v="2025-07-23T00:00:00"/>
    <x v="0"/>
    <x v="4"/>
    <n v="480.1"/>
    <n v="76"/>
    <n v="16"/>
    <n v="2025"/>
    <n v="7"/>
    <n v="0.21052631578947401"/>
    <s v="High"/>
    <n v="6.3171052631578997"/>
    <n v="30.006250000000001"/>
  </r>
  <r>
    <s v="CMP0023"/>
    <d v="2025-05-18T00:00:00"/>
    <x v="0"/>
    <x v="5"/>
    <n v="3712.61"/>
    <n v="420"/>
    <n v="73"/>
    <n v="2025"/>
    <n v="5"/>
    <n v="0.173809523809524"/>
    <s v="Low"/>
    <n v="8.8395476190476199"/>
    <n v="50.857671232876697"/>
  </r>
  <r>
    <s v="CMP0195"/>
    <d v="2026-05-13T00:00:00"/>
    <x v="3"/>
    <x v="1"/>
    <n v="1258.1600000000001"/>
    <n v="155"/>
    <n v="32"/>
    <n v="2026"/>
    <n v="5"/>
    <n v="0.206451612903226"/>
    <s v="High"/>
    <n v="8.1171612903225796"/>
    <n v="39.317500000000003"/>
  </r>
  <r>
    <s v="CMP0042"/>
    <d v="2025-12-30T00:00:00"/>
    <x v="4"/>
    <x v="6"/>
    <n v="2823.43"/>
    <n v="539"/>
    <n v="122"/>
    <n v="2025"/>
    <n v="12"/>
    <n v="0.226345083487941"/>
    <s v="High"/>
    <n v="5.2382745825603001"/>
    <n v="23.142868852458999"/>
  </r>
  <r>
    <s v="CMP0182"/>
    <d v="2025-09-09T00:00:00"/>
    <x v="4"/>
    <x v="5"/>
    <n v="4168.08"/>
    <n v="815"/>
    <n v="206"/>
    <n v="2025"/>
    <n v="9"/>
    <n v="0.252760736196319"/>
    <s v="High"/>
    <n v="5.1142085889570597"/>
    <n v="20.233398058252401"/>
  </r>
  <r>
    <s v="CMP0164"/>
    <d v="2025-01-17T00:00:00"/>
    <x v="0"/>
    <x v="6"/>
    <n v="1273.23"/>
    <n v="305"/>
    <n v="53"/>
    <n v="2025"/>
    <n v="1"/>
    <n v="0.173770491803279"/>
    <s v="Low"/>
    <n v="4.1745245901639398"/>
    <n v="24.0232075471698"/>
  </r>
  <r>
    <s v="CMP0041"/>
    <d v="2025-08-21T00:00:00"/>
    <x v="0"/>
    <x v="6"/>
    <n v="1245.83"/>
    <n v="178"/>
    <n v="60"/>
    <n v="2025"/>
    <n v="8"/>
    <n v="0.33707865168539303"/>
    <s v="High"/>
    <n v="6.9990449438202198"/>
    <n v="20.763833333333299"/>
  </r>
  <r>
    <s v="CMP0121"/>
    <d v="2025-07-19T00:00:00"/>
    <x v="1"/>
    <x v="0"/>
    <n v="4901.34"/>
    <n v="892"/>
    <n v="171"/>
    <n v="2025"/>
    <n v="7"/>
    <n v="0.19170403587443999"/>
    <s v="High"/>
    <n v="5.4947757847533598"/>
    <n v="28.662807017543901"/>
  </r>
  <r>
    <s v="CMP0033"/>
    <d v="2025-07-29T00:00:00"/>
    <x v="2"/>
    <x v="0"/>
    <n v="4346.26"/>
    <n v="479"/>
    <n v="73"/>
    <n v="2025"/>
    <n v="7"/>
    <n v="0.15240083507306901"/>
    <s v="Low"/>
    <n v="9.07361169102297"/>
    <n v="59.537808219178103"/>
  </r>
  <r>
    <s v="CMP0003"/>
    <d v="2026-01-14T00:00:00"/>
    <x v="2"/>
    <x v="0"/>
    <n v="4817.75"/>
    <n v="1049"/>
    <n v="181"/>
    <n v="2026"/>
    <n v="1"/>
    <n v="0.17254528122021001"/>
    <s v="Low"/>
    <n v="4.5927073403241199"/>
    <n v="26.617403314917102"/>
  </r>
  <r>
    <s v="NEW0002"/>
    <d v="2025-12-12T00:00:00"/>
    <x v="4"/>
    <x v="1"/>
    <n v="851.41"/>
    <n v="164"/>
    <n v="35"/>
    <n v="2025"/>
    <n v="12"/>
    <n v="0.21341463414634201"/>
    <s v="High"/>
    <n v="5.1915243902438997"/>
    <n v="24.326000000000001"/>
  </r>
  <r>
    <s v="CMP0254"/>
    <d v="2025-04-22T00:00:00"/>
    <x v="4"/>
    <x v="0"/>
    <n v="1739.97"/>
    <n v="404"/>
    <n v="63"/>
    <n v="2025"/>
    <n v="4"/>
    <n v="0.155940594059406"/>
    <s v="Low"/>
    <n v="4.3068564356435699"/>
    <n v="27.6185714285714"/>
  </r>
  <r>
    <s v="CMP0095"/>
    <d v="2026-01-28T00:00:00"/>
    <x v="2"/>
    <x v="5"/>
    <n v="4965.01"/>
    <n v="1009"/>
    <n v="151"/>
    <n v="2026"/>
    <n v="1"/>
    <n v="0.149653121902874"/>
    <s v="Low"/>
    <n v="4.9207234886025804"/>
    <n v="32.880860927152298"/>
  </r>
  <r>
    <s v="CMP0011"/>
    <d v="2026-03-16T00:00:00"/>
    <x v="4"/>
    <x v="1"/>
    <n v="2058.15"/>
    <n v="416"/>
    <n v="83"/>
    <n v="2026"/>
    <n v="3"/>
    <n v="0.199519230769231"/>
    <s v="High"/>
    <n v="4.9474759615384603"/>
    <n v="24.7969879518072"/>
  </r>
  <r>
    <s v="NEW0003"/>
    <d v="2026-03-04T00:00:00"/>
    <x v="0"/>
    <x v="5"/>
    <n v="1936.71"/>
    <n v="333"/>
    <n v="59"/>
    <n v="2026"/>
    <n v="3"/>
    <n v="0.17717717717717699"/>
    <s v="Low"/>
    <n v="5.8159459459459502"/>
    <n v="32.825593220339002"/>
  </r>
  <r>
    <s v="CMP0228"/>
    <d v="2025-08-08T00:00:00"/>
    <x v="2"/>
    <x v="4"/>
    <n v="1757.72"/>
    <n v="287"/>
    <n v="34"/>
    <n v="2025"/>
    <n v="8"/>
    <n v="0.118466898954704"/>
    <s v="Low"/>
    <n v="6.1244599303135896"/>
    <n v="51.697647058823499"/>
  </r>
  <r>
    <s v="CMP0198"/>
    <d v="2025-10-08T00:00:00"/>
    <x v="2"/>
    <x v="0"/>
    <n v="2412.9699999999998"/>
    <n v="271"/>
    <n v="26"/>
    <n v="2025"/>
    <n v="10"/>
    <n v="9.5940959409594101E-2"/>
    <s v="Low"/>
    <n v="8.9039483394833905"/>
    <n v="92.806538461538494"/>
  </r>
  <r>
    <s v="CMP0231"/>
    <d v="2026-05-11T00:00:00"/>
    <x v="3"/>
    <x v="0"/>
    <n v="2457.4899999999998"/>
    <n v="238"/>
    <n v="42"/>
    <n v="2026"/>
    <n v="5"/>
    <n v="0.17647058823529399"/>
    <s v="Low"/>
    <n v="10.3255882352941"/>
    <n v="58.511666666666699"/>
  </r>
  <r>
    <s v="CMP0100"/>
    <d v="2025-10-11T00:00:00"/>
    <x v="4"/>
    <x v="6"/>
    <n v="1910.65"/>
    <n v="351"/>
    <n v="62"/>
    <n v="2025"/>
    <n v="10"/>
    <n v="0.17663817663817699"/>
    <s v="Low"/>
    <n v="5.4434472934472904"/>
    <n v="30.816935483870999"/>
  </r>
  <r>
    <s v="CMP0110"/>
    <d v="2025-08-05T00:00:00"/>
    <x v="2"/>
    <x v="1"/>
    <n v="3357.04"/>
    <n v="426"/>
    <n v="152"/>
    <n v="2025"/>
    <n v="8"/>
    <n v="0.35680751173708902"/>
    <s v="High"/>
    <n v="7.88037558685446"/>
    <n v="22.085789473684201"/>
  </r>
  <r>
    <s v="CMP0115"/>
    <d v="2025-06-10T00:00:00"/>
    <x v="0"/>
    <x v="6"/>
    <n v="3832.39"/>
    <n v="350"/>
    <n v="100"/>
    <n v="2025"/>
    <n v="6"/>
    <n v="0.28571428571428598"/>
    <s v="High"/>
    <n v="10.9496857142857"/>
    <n v="38.323900000000002"/>
  </r>
  <r>
    <s v="CMP0288"/>
    <d v="2025-07-12T00:00:00"/>
    <x v="5"/>
    <x v="1"/>
    <n v="3023.16"/>
    <n v="749"/>
    <n v="40"/>
    <n v="2025"/>
    <n v="7"/>
    <n v="5.3404539385847799E-2"/>
    <s v="Low"/>
    <n v="4.0362616822429898"/>
    <n v="75.578999999999994"/>
  </r>
  <r>
    <s v="CMP0066"/>
    <d v="2026-06-03T00:00:00"/>
    <x v="2"/>
    <x v="2"/>
    <n v="2869.4949999999999"/>
    <n v="334"/>
    <n v="61"/>
    <n v="2026"/>
    <n v="6"/>
    <n v="0.18263473053892201"/>
    <s v="Low"/>
    <n v="8.5913023952095795"/>
    <n v="47.040901639344298"/>
  </r>
  <r>
    <s v="CMP0264"/>
    <d v="2026-05-13T00:00:00"/>
    <x v="3"/>
    <x v="5"/>
    <n v="3245.87"/>
    <n v="388"/>
    <n v="68"/>
    <n v="2026"/>
    <n v="5"/>
    <n v="0.17525773195876301"/>
    <s v="Low"/>
    <n v="8.3656443298969094"/>
    <n v="47.733382352941199"/>
  </r>
  <r>
    <s v="CMP0187"/>
    <d v="2026-07-16T00:00:00"/>
    <x v="0"/>
    <x v="5"/>
    <n v="595.54"/>
    <n v="107"/>
    <n v="17"/>
    <n v="2026"/>
    <n v="7"/>
    <n v="0.15887850467289699"/>
    <s v="Low"/>
    <n v="5.5657943925233599"/>
    <n v="35.031764705882402"/>
  </r>
  <r>
    <s v="CMP0047"/>
    <d v="2025-10-11T00:00:00"/>
    <x v="0"/>
    <x v="2"/>
    <n v="4768.82"/>
    <n v="674"/>
    <n v="177"/>
    <n v="2025"/>
    <n v="10"/>
    <n v="0.26261127596439199"/>
    <s v="High"/>
    <n v="7.0754005934718096"/>
    <n v="26.9424858757062"/>
  </r>
  <r>
    <s v="CMP0088"/>
    <d v="2025-04-01T00:00:00"/>
    <x v="4"/>
    <x v="2"/>
    <n v="2339.96"/>
    <n v="426"/>
    <n v="74"/>
    <n v="2025"/>
    <n v="4"/>
    <n v="0.17370892018779299"/>
    <s v="Low"/>
    <n v="5.4928638497652598"/>
    <n v="31.621081081081101"/>
  </r>
  <r>
    <s v="CMP0051"/>
    <d v="2025-09-06T00:00:00"/>
    <x v="2"/>
    <x v="6"/>
    <n v="3682.58"/>
    <n v="426"/>
    <n v="96"/>
    <n v="2025"/>
    <n v="9"/>
    <n v="0.22535211267605601"/>
    <s v="High"/>
    <n v="8.6445539906103299"/>
    <n v="38.360208333333297"/>
  </r>
  <r>
    <s v="CMP0092"/>
    <d v="2025-01-18T00:00:00"/>
    <x v="2"/>
    <x v="2"/>
    <n v="2407.33"/>
    <n v="422"/>
    <n v="86"/>
    <n v="2025"/>
    <n v="1"/>
    <n v="0.20379146919431301"/>
    <s v="High"/>
    <n v="5.7045734597156397"/>
    <n v="27.992209302325598"/>
  </r>
  <r>
    <s v="CMP0259"/>
    <d v="2025-06-09T00:00:00"/>
    <x v="2"/>
    <x v="5"/>
    <n v="3733.62"/>
    <n v="520"/>
    <n v="-4"/>
    <n v="2025"/>
    <n v="6"/>
    <n v="-7.6923076923076901E-3"/>
    <s v="Low"/>
    <n v="7.1800384615384596"/>
    <n v="0"/>
  </r>
  <r>
    <s v="CMP0008"/>
    <d v="2025-03-29T00:00:00"/>
    <x v="0"/>
    <x v="0"/>
    <n v="461.86"/>
    <n v="57"/>
    <n v="13"/>
    <n v="2025"/>
    <n v="3"/>
    <n v="0.22807017543859701"/>
    <s v="High"/>
    <n v="8.10280701754386"/>
    <n v="35.527692307692298"/>
  </r>
  <r>
    <s v="CMP0087"/>
    <d v="2025-12-12T00:00:00"/>
    <x v="0"/>
    <x v="0"/>
    <n v="3032.49"/>
    <n v="397"/>
    <n v="98"/>
    <n v="2025"/>
    <n v="12"/>
    <n v="0.246851385390428"/>
    <s v="High"/>
    <n v="7.6385138539042803"/>
    <n v="30.943775510204102"/>
  </r>
  <r>
    <s v="CMP0058"/>
    <d v="2025-03-12T00:00:00"/>
    <x v="5"/>
    <x v="1"/>
    <n v="1656.74"/>
    <n v="182"/>
    <n v="12"/>
    <n v="2025"/>
    <n v="3"/>
    <n v="6.5934065934065894E-2"/>
    <s v="Low"/>
    <n v="9.1029670329670296"/>
    <n v="138.06166666666701"/>
  </r>
  <r>
    <s v="CMP0073"/>
    <d v="2025-12-26T00:00:00"/>
    <x v="4"/>
    <x v="2"/>
    <n v="2655.84"/>
    <n v="282"/>
    <n v="45"/>
    <n v="2025"/>
    <n v="12"/>
    <n v="0.159574468085106"/>
    <s v="Low"/>
    <n v="9.4178723404255305"/>
    <n v="59.018666666666697"/>
  </r>
  <r>
    <s v="CMP0269"/>
    <d v="2025-06-30T00:00:00"/>
    <x v="4"/>
    <x v="1"/>
    <n v="2067.63"/>
    <n v="379"/>
    <n v="91"/>
    <n v="2025"/>
    <n v="6"/>
    <n v="0.24010554089709801"/>
    <s v="High"/>
    <n v="5.4554881266490796"/>
    <n v="22.721208791208799"/>
  </r>
  <r>
    <s v="NEW0004"/>
    <d v="2025-08-25T00:00:00"/>
    <x v="4"/>
    <x v="5"/>
    <n v="2644.89"/>
    <n v="432"/>
    <n v="79"/>
    <n v="2025"/>
    <n v="8"/>
    <n v="0.18287037037036999"/>
    <s v="Low"/>
    <n v="6.1224305555555603"/>
    <n v="33.479620253164597"/>
  </r>
  <r>
    <s v="CMP0134"/>
    <d v="2025-05-12T00:00:00"/>
    <x v="2"/>
    <x v="2"/>
    <n v="3026.05"/>
    <n v="589"/>
    <n v="88"/>
    <n v="2025"/>
    <n v="5"/>
    <n v="0.14940577249575601"/>
    <s v="Low"/>
    <n v="5.1376061120543302"/>
    <n v="34.3869318181818"/>
  </r>
  <r>
    <s v="CMP0032"/>
    <d v="2026-04-03T00:00:00"/>
    <x v="0"/>
    <x v="0"/>
    <n v="2869.4949999999999"/>
    <n v="471"/>
    <n v="112"/>
    <n v="2026"/>
    <n v="4"/>
    <n v="0.23779193205944801"/>
    <s v="High"/>
    <n v="6.0923460721868397"/>
    <n v="25.620491071428599"/>
  </r>
  <r>
    <s v="CMP0199"/>
    <d v="2025-08-09T00:00:00"/>
    <x v="5"/>
    <x v="3"/>
    <n v="10024"/>
    <n v="220"/>
    <n v="32"/>
    <n v="2025"/>
    <n v="8"/>
    <n v="0.145454545454545"/>
    <s v="Low"/>
    <n v="45.563636363636398"/>
    <n v="313.25"/>
  </r>
  <r>
    <s v="CMP0017"/>
    <d v="2025-10-11T00:00:00"/>
    <x v="3"/>
    <x v="0"/>
    <n v="4719.42"/>
    <n v="1169"/>
    <n v="210"/>
    <n v="2025"/>
    <n v="10"/>
    <n v="0.179640718562874"/>
    <s v="Low"/>
    <n v="4.03714285714286"/>
    <n v="22.473428571428599"/>
  </r>
  <r>
    <s v="CMP0144"/>
    <d v="2025-02-27T00:00:00"/>
    <x v="4"/>
    <x v="5"/>
    <n v="4203.28"/>
    <n v="361"/>
    <n v="72"/>
    <n v="2025"/>
    <n v="2"/>
    <n v="0.19944598337950101"/>
    <s v="High"/>
    <n v="11.643434903047099"/>
    <n v="58.378888888888902"/>
  </r>
  <r>
    <s v="CMP0018"/>
    <d v="2026-06-27T00:00:00"/>
    <x v="0"/>
    <x v="5"/>
    <n v="464.54"/>
    <n v="76"/>
    <n v="20"/>
    <n v="2026"/>
    <n v="6"/>
    <n v="0.26315789473684198"/>
    <s v="High"/>
    <n v="6.1123684210526301"/>
    <n v="23.227"/>
  </r>
  <r>
    <s v="CMP0043"/>
    <d v="2026-03-22T00:00:00"/>
    <x v="4"/>
    <x v="0"/>
    <n v="2869.4949999999999"/>
    <n v="372"/>
    <n v="78"/>
    <n v="2026"/>
    <n v="3"/>
    <n v="0.209677419354839"/>
    <s v="High"/>
    <n v="7.7136962365591399"/>
    <n v="36.788397435897402"/>
  </r>
  <r>
    <s v="CMP0257"/>
    <d v="2025-12-15T00:00:00"/>
    <x v="1"/>
    <x v="0"/>
    <n v="2374.5100000000002"/>
    <n v="537"/>
    <n v="112"/>
    <n v="2025"/>
    <n v="12"/>
    <n v="0.20856610800744901"/>
    <s v="High"/>
    <n v="4.4218063314711404"/>
    <n v="21.2009821428572"/>
  </r>
  <r>
    <s v="CMP0217"/>
    <d v="2025-01-16T00:00:00"/>
    <x v="4"/>
    <x v="2"/>
    <n v="1178.29"/>
    <n v="174"/>
    <n v="38"/>
    <n v="2025"/>
    <n v="1"/>
    <n v="0.21839080459770099"/>
    <s v="High"/>
    <n v="6.7717816091953997"/>
    <n v="31.0076315789474"/>
  </r>
  <r>
    <s v="CMP0139"/>
    <d v="2025-03-18T00:00:00"/>
    <x v="3"/>
    <x v="0"/>
    <n v="1857.7"/>
    <n v="309"/>
    <n v="42"/>
    <n v="2025"/>
    <n v="3"/>
    <n v="0.13592233009708701"/>
    <s v="Low"/>
    <n v="6.0119741100323596"/>
    <n v="44.230952380952402"/>
  </r>
  <r>
    <s v="CMP0204"/>
    <d v="2026-01-31T00:00:00"/>
    <x v="1"/>
    <x v="2"/>
    <n v="3708.29"/>
    <n v="637"/>
    <n v="77"/>
    <n v="2026"/>
    <n v="1"/>
    <n v="0.120879120879121"/>
    <s v="Low"/>
    <n v="5.8214913657770797"/>
    <n v="48.1596103896104"/>
  </r>
  <r>
    <s v="CMP0086"/>
    <d v="2025-09-10T00:00:00"/>
    <x v="0"/>
    <x v="0"/>
    <n v="1245.05"/>
    <n v="135"/>
    <n v="28"/>
    <n v="2025"/>
    <n v="9"/>
    <n v="0.20740740740740701"/>
    <s v="High"/>
    <n v="9.2225925925925907"/>
    <n v="44.466071428571396"/>
  </r>
  <r>
    <s v="CMP0180"/>
    <d v="2025-03-28T00:00:00"/>
    <x v="2"/>
    <x v="4"/>
    <n v="2426.4499999999998"/>
    <n v="221"/>
    <n v="54"/>
    <n v="2025"/>
    <n v="3"/>
    <n v="0.24434389140271501"/>
    <s v="High"/>
    <n v="10.979411764705899"/>
    <n v="44.934259259259299"/>
  </r>
  <r>
    <s v="CMP0214"/>
    <d v="2026-02-10T00:00:00"/>
    <x v="5"/>
    <x v="1"/>
    <n v="1395.38"/>
    <n v="115"/>
    <n v="14"/>
    <n v="2026"/>
    <n v="2"/>
    <n v="0.121739130434783"/>
    <s v="Low"/>
    <n v="12.133739130434799"/>
    <n v="99.67"/>
  </r>
  <r>
    <s v="CMP0210"/>
    <d v="2026-06-06T00:00:00"/>
    <x v="4"/>
    <x v="2"/>
    <n v="2959.61"/>
    <n v="393"/>
    <n v="75"/>
    <n v="2026"/>
    <n v="6"/>
    <n v="0.19083969465648901"/>
    <s v="High"/>
    <n v="7.5308142493638703"/>
    <n v="39.461466666666702"/>
  </r>
  <r>
    <s v="CMP0075"/>
    <d v="2026-07-29T00:00:00"/>
    <x v="3"/>
    <x v="4"/>
    <n v="3750.07"/>
    <n v="877"/>
    <n v="221"/>
    <n v="2026"/>
    <n v="7"/>
    <n v="0.251995438996579"/>
    <s v="High"/>
    <n v="4.2760205245153902"/>
    <n v="16.968642533936698"/>
  </r>
  <r>
    <s v="CMP0173"/>
    <d v="2026-03-20T00:00:00"/>
    <x v="5"/>
    <x v="0"/>
    <n v="3169.93"/>
    <n v="615"/>
    <n v="62"/>
    <n v="2026"/>
    <n v="3"/>
    <n v="0.100813008130081"/>
    <s v="Low"/>
    <n v="5.15435772357724"/>
    <n v="51.127903225806499"/>
  </r>
  <r>
    <s v="CMP0159"/>
    <d v="2025-08-01T00:00:00"/>
    <x v="2"/>
    <x v="2"/>
    <n v="430.74"/>
    <n v="79"/>
    <n v="12"/>
    <n v="2025"/>
    <n v="8"/>
    <n v="0.151898734177215"/>
    <s v="Low"/>
    <n v="5.4524050632911401"/>
    <n v="35.895000000000003"/>
  </r>
  <r>
    <s v="CMP0181"/>
    <d v="2026-05-22T00:00:00"/>
    <x v="0"/>
    <x v="5"/>
    <n v="1524.32"/>
    <n v="371"/>
    <n v="104"/>
    <n v="2026"/>
    <n v="5"/>
    <n v="0.280323450134771"/>
    <s v="High"/>
    <n v="4.1086792452830201"/>
    <n v="14.6569230769231"/>
  </r>
  <r>
    <s v="CMP0194"/>
    <d v="2026-06-03T00:00:00"/>
    <x v="4"/>
    <x v="6"/>
    <n v="2937.63"/>
    <n v="426"/>
    <n v="154"/>
    <n v="2026"/>
    <n v="6"/>
    <n v="0.36150234741783999"/>
    <s v="High"/>
    <n v="6.8958450704225402"/>
    <n v="19.0755194805195"/>
  </r>
  <r>
    <s v="CMP0060"/>
    <d v="2025-09-06T00:00:00"/>
    <x v="4"/>
    <x v="6"/>
    <n v="1901.11"/>
    <n v="362"/>
    <n v="73"/>
    <n v="2025"/>
    <n v="9"/>
    <n v="0.20165745856353601"/>
    <s v="High"/>
    <n v="5.25168508287293"/>
    <n v="26.042602739726"/>
  </r>
  <r>
    <s v="CMP0185"/>
    <d v="2025-06-26T00:00:00"/>
    <x v="3"/>
    <x v="0"/>
    <n v="2155.5"/>
    <n v="224"/>
    <n v="44"/>
    <n v="2025"/>
    <n v="6"/>
    <n v="0.19642857142857101"/>
    <s v="High"/>
    <n v="9.6227678571428594"/>
    <n v="48.988636363636402"/>
  </r>
  <r>
    <s v="CMP0093"/>
    <d v="2025-10-19T00:00:00"/>
    <x v="3"/>
    <x v="5"/>
    <n v="279"/>
    <n v="43"/>
    <n v="8"/>
    <n v="2025"/>
    <n v="10"/>
    <n v="0.186046511627907"/>
    <s v="Low"/>
    <n v="6.4883720930232602"/>
    <n v="34.875"/>
  </r>
  <r>
    <s v="CMP0272"/>
    <d v="2025-04-20T00:00:00"/>
    <x v="2"/>
    <x v="6"/>
    <n v="617.57000000000005"/>
    <n v="96"/>
    <n v="17"/>
    <n v="2025"/>
    <n v="4"/>
    <n v="0.17708333333333301"/>
    <s v="Low"/>
    <n v="6.4330208333333303"/>
    <n v="36.327647058823501"/>
  </r>
  <r>
    <s v="CMP0201"/>
    <d v="2025-08-09T00:00:00"/>
    <x v="4"/>
    <x v="0"/>
    <n v="1552.76"/>
    <n v="314"/>
    <n v="39"/>
    <n v="2025"/>
    <n v="8"/>
    <n v="0.124203821656051"/>
    <s v="Low"/>
    <n v="4.9450955414012698"/>
    <n v="39.814358974359003"/>
  </r>
  <r>
    <s v="CMP0282"/>
    <d v="2025-02-13T00:00:00"/>
    <x v="2"/>
    <x v="2"/>
    <n v="4354.53"/>
    <n v="426"/>
    <n v="48"/>
    <n v="2025"/>
    <n v="2"/>
    <n v="0.11267605633802801"/>
    <s v="Low"/>
    <n v="10.2219014084507"/>
    <n v="90.719374999999999"/>
  </r>
  <r>
    <s v="CMP0040"/>
    <d v="2025-08-01T00:00:00"/>
    <x v="0"/>
    <x v="1"/>
    <n v="4824.93"/>
    <n v="437"/>
    <n v="122"/>
    <n v="2025"/>
    <n v="8"/>
    <n v="0.27917620137299798"/>
    <s v="High"/>
    <n v="11.041029748283799"/>
    <n v="39.548606557377099"/>
  </r>
  <r>
    <s v="CMP0109"/>
    <d v="2025-07-19T00:00:00"/>
    <x v="2"/>
    <x v="0"/>
    <n v="3735.12"/>
    <n v="887"/>
    <n v="149"/>
    <n v="2025"/>
    <n v="7"/>
    <n v="0.16798196166854601"/>
    <s v="Low"/>
    <n v="4.21095828635851"/>
    <n v="25.0679194630873"/>
  </r>
  <r>
    <s v="CMP0249"/>
    <d v="2025-09-25T00:00:00"/>
    <x v="1"/>
    <x v="2"/>
    <n v="442.02"/>
    <n v="71"/>
    <n v="19"/>
    <n v="2025"/>
    <n v="9"/>
    <n v="0.26760563380281699"/>
    <s v="High"/>
    <n v="6.2256338028169003"/>
    <n v="23.2642105263158"/>
  </r>
  <r>
    <s v="CMP0215"/>
    <d v="2025-09-16T00:00:00"/>
    <x v="4"/>
    <x v="2"/>
    <n v="4603.4399999999996"/>
    <n v="1005"/>
    <n v="178"/>
    <n v="2025"/>
    <n v="9"/>
    <n v="0.177114427860697"/>
    <s v="Low"/>
    <n v="4.5805373134328402"/>
    <n v="25.862022471910102"/>
  </r>
  <r>
    <s v="CMP0007"/>
    <d v="2026-01-27T00:00:00"/>
    <x v="4"/>
    <x v="0"/>
    <n v="1824.13"/>
    <n v="224"/>
    <n v="73"/>
    <n v="2026"/>
    <n v="1"/>
    <n v="0.32589285714285698"/>
    <s v="High"/>
    <n v="8.1434374999999992"/>
    <n v="24.988082191780801"/>
  </r>
  <r>
    <s v="CMP0230"/>
    <d v="2025-12-15T00:00:00"/>
    <x v="3"/>
    <x v="6"/>
    <n v="4886.1400000000003"/>
    <n v="551"/>
    <n v="79"/>
    <n v="2025"/>
    <n v="12"/>
    <n v="0.143375680580762"/>
    <s v="Low"/>
    <n v="8.8677676950998201"/>
    <n v="61.849873417721497"/>
  </r>
  <r>
    <s v="CMP0118"/>
    <d v="2025-05-07T00:00:00"/>
    <x v="2"/>
    <x v="5"/>
    <n v="2869.4949999999999"/>
    <n v="459"/>
    <n v="82"/>
    <n v="2025"/>
    <n v="5"/>
    <n v="0.17864923747276701"/>
    <s v="Low"/>
    <n v="6.2516230936819204"/>
    <n v="34.993841463414597"/>
  </r>
  <r>
    <s v="CMP0124"/>
    <d v="2025-08-05T00:00:00"/>
    <x v="5"/>
    <x v="0"/>
    <n v="4259.53"/>
    <n v="393"/>
    <n v="45"/>
    <n v="2025"/>
    <n v="8"/>
    <n v="0.114503816793893"/>
    <s v="Low"/>
    <n v="10.8384987277354"/>
    <n v="94.656222222222198"/>
  </r>
  <r>
    <s v="CMP0039"/>
    <d v="2025-07-31T00:00:00"/>
    <x v="1"/>
    <x v="0"/>
    <n v="1534.26"/>
    <n v="281"/>
    <n v="30"/>
    <n v="2025"/>
    <n v="7"/>
    <n v="0.106761565836299"/>
    <s v="Low"/>
    <n v="5.46"/>
    <n v="51.142000000000003"/>
  </r>
  <r>
    <s v="NEW0005"/>
    <d v="2025-05-26T00:00:00"/>
    <x v="5"/>
    <x v="6"/>
    <n v="3315.37"/>
    <n v="691"/>
    <n v="13"/>
    <n v="2025"/>
    <n v="5"/>
    <n v="1.8813314037626601E-2"/>
    <s v="Low"/>
    <n v="4.7979305354558601"/>
    <n v="255.02846153846201"/>
  </r>
  <r>
    <s v="NEW0006"/>
    <d v="2026-01-17T00:00:00"/>
    <x v="2"/>
    <x v="0"/>
    <n v="811.21"/>
    <n v="91"/>
    <n v="19"/>
    <n v="2026"/>
    <n v="1"/>
    <n v="0.20879120879120899"/>
    <s v="High"/>
    <n v="8.9143956043956099"/>
    <n v="42.695263157894701"/>
  </r>
  <r>
    <s v="CMP0154"/>
    <d v="2026-04-14T00:00:00"/>
    <x v="2"/>
    <x v="0"/>
    <n v="4609.66"/>
    <n v="426"/>
    <n v="121"/>
    <n v="2026"/>
    <n v="4"/>
    <n v="0.284037558685446"/>
    <s v="High"/>
    <n v="10.8207981220657"/>
    <n v="38.096363636363598"/>
  </r>
  <r>
    <s v="CMP0010"/>
    <d v="2026-06-01T00:00:00"/>
    <x v="2"/>
    <x v="4"/>
    <n v="3759.67"/>
    <n v="516"/>
    <n v="46"/>
    <n v="2026"/>
    <n v="6"/>
    <n v="8.9147286821705404E-2"/>
    <s v="Low"/>
    <n v="7.2861821705426397"/>
    <n v="81.731956521739093"/>
  </r>
  <r>
    <s v="CMP0242"/>
    <d v="2025-06-05T00:00:00"/>
    <x v="3"/>
    <x v="4"/>
    <n v="3053.83"/>
    <n v="332"/>
    <n v="72"/>
    <n v="2025"/>
    <n v="6"/>
    <n v="0.21686746987951799"/>
    <s v="High"/>
    <n v="9.1982831325301202"/>
    <n v="42.4143055555556"/>
  </r>
  <r>
    <s v="CMP0193"/>
    <d v="2025-02-22T00:00:00"/>
    <x v="2"/>
    <x v="6"/>
    <n v="3697.57"/>
    <n v="344"/>
    <n v="60"/>
    <n v="2025"/>
    <n v="2"/>
    <n v="0.17441860465116299"/>
    <s v="Low"/>
    <n v="10.748749999999999"/>
    <n v="61.626166666666698"/>
  </r>
  <r>
    <s v="CMP0286"/>
    <d v="2025-02-07T00:00:00"/>
    <x v="2"/>
    <x v="0"/>
    <n v="466.08"/>
    <n v="54"/>
    <n v="9"/>
    <n v="2025"/>
    <n v="2"/>
    <n v="0.16666666666666699"/>
    <s v="Low"/>
    <n v="8.6311111111111103"/>
    <n v="51.786666666666697"/>
  </r>
  <r>
    <s v="CMP0184"/>
    <d v="2025-09-18T00:00:00"/>
    <x v="0"/>
    <x v="0"/>
    <n v="3032.39"/>
    <n v="654"/>
    <n v="187"/>
    <n v="2025"/>
    <n v="9"/>
    <n v="0.28593272171253797"/>
    <s v="High"/>
    <n v="4.6366819571865499"/>
    <n v="16.215989304812801"/>
  </r>
  <r>
    <s v="CMP0167"/>
    <d v="2025-10-11T00:00:00"/>
    <x v="0"/>
    <x v="6"/>
    <n v="1808.06"/>
    <n v="301"/>
    <n v="83"/>
    <n v="2025"/>
    <n v="10"/>
    <n v="0.27574750830564798"/>
    <s v="High"/>
    <n v="6.0068438538205999"/>
    <n v="21.783855421686798"/>
  </r>
  <r>
    <s v="CMP0103"/>
    <d v="2025-12-09T00:00:00"/>
    <x v="5"/>
    <x v="1"/>
    <n v="4596.24"/>
    <n v="446"/>
    <n v="33"/>
    <n v="2025"/>
    <n v="12"/>
    <n v="7.3991031390134507E-2"/>
    <s v="Low"/>
    <n v="10.305470852017899"/>
    <n v="139.28"/>
  </r>
  <r>
    <s v="CMP0022"/>
    <d v="2025-10-22T00:00:00"/>
    <x v="2"/>
    <x v="1"/>
    <n v="2869.4949999999999"/>
    <n v="887"/>
    <n v="92"/>
    <n v="2025"/>
    <n v="10"/>
    <n v="0.103720405862458"/>
    <s v="Low"/>
    <n v="3.2350563697857999"/>
    <n v="31.1901630434783"/>
  </r>
  <r>
    <s v="CMP0120"/>
    <d v="2025-06-12T00:00:00"/>
    <x v="0"/>
    <x v="0"/>
    <n v="1171.08"/>
    <n v="239"/>
    <n v="77"/>
    <n v="2025"/>
    <n v="6"/>
    <n v="0.32217573221757301"/>
    <s v="High"/>
    <n v="4.8999163179916296"/>
    <n v="15.2088311688312"/>
  </r>
  <r>
    <s v="NEW0007"/>
    <d v="2026-01-27T00:00:00"/>
    <x v="2"/>
    <x v="0"/>
    <n v="4535.59"/>
    <n v="515"/>
    <n v="102"/>
    <n v="2026"/>
    <n v="1"/>
    <n v="0.198058252427185"/>
    <s v="High"/>
    <n v="8.8069708737864101"/>
    <n v="44.466568627450997"/>
  </r>
  <r>
    <s v="CMP0031"/>
    <d v="2025-10-22T00:00:00"/>
    <x v="0"/>
    <x v="4"/>
    <n v="2516.86"/>
    <n v="396"/>
    <n v="105"/>
    <n v="2025"/>
    <n v="10"/>
    <n v="0.26515151515151503"/>
    <s v="High"/>
    <n v="6.3557070707070702"/>
    <n v="23.970095238095201"/>
  </r>
  <r>
    <s v="CMP0278"/>
    <d v="2025-04-28T00:00:00"/>
    <x v="2"/>
    <x v="6"/>
    <n v="4480.3999999999996"/>
    <n v="623"/>
    <n v="137"/>
    <n v="2025"/>
    <n v="4"/>
    <n v="0.21990369181380401"/>
    <s v="High"/>
    <n v="7.1916532905296897"/>
    <n v="32.703649635036498"/>
  </r>
  <r>
    <s v="CMP0244"/>
    <d v="2025-11-26T00:00:00"/>
    <x v="0"/>
    <x v="6"/>
    <n v="1871.59"/>
    <n v="449"/>
    <n v="126"/>
    <n v="2025"/>
    <n v="11"/>
    <n v="0.28062360801781699"/>
    <s v="High"/>
    <n v="4.1683518930957701"/>
    <n v="14.8538888888889"/>
  </r>
  <r>
    <s v="CMP0176"/>
    <d v="2025-05-22T00:00:00"/>
    <x v="3"/>
    <x v="0"/>
    <n v="1114.46"/>
    <n v="426"/>
    <n v="15"/>
    <n v="2025"/>
    <n v="5"/>
    <n v="3.5211267605633798E-2"/>
    <s v="Low"/>
    <n v="2.61610328638498"/>
    <n v="74.297333333333299"/>
  </r>
  <r>
    <s v="CMP0021"/>
    <d v="2025-10-11T00:00:00"/>
    <x v="2"/>
    <x v="0"/>
    <n v="3820.16"/>
    <n v="404"/>
    <n v="44"/>
    <n v="2025"/>
    <n v="10"/>
    <n v="0.10891089108910899"/>
    <s v="Low"/>
    <n v="9.4558415841584207"/>
    <n v="86.821818181818202"/>
  </r>
  <r>
    <s v="CMP0148"/>
    <d v="2025-07-22T00:00:00"/>
    <x v="2"/>
    <x v="2"/>
    <n v="3984.76"/>
    <n v="836"/>
    <n v="146"/>
    <n v="2025"/>
    <n v="7"/>
    <n v="0.17464114832535901"/>
    <s v="Low"/>
    <n v="4.7664593301435403"/>
    <n v="27.292876712328798"/>
  </r>
  <r>
    <s v="CMP0208"/>
    <d v="2026-04-21T00:00:00"/>
    <x v="1"/>
    <x v="0"/>
    <n v="4136.17"/>
    <n v="868"/>
    <n v="236"/>
    <n v="2026"/>
    <n v="4"/>
    <n v="0.27188940092165897"/>
    <s v="High"/>
    <n v="4.7651728110599096"/>
    <n v="17.526144067796601"/>
  </r>
  <r>
    <s v="CMP0116"/>
    <d v="2025-02-13T00:00:00"/>
    <x v="0"/>
    <x v="6"/>
    <n v="1886.26"/>
    <n v="2020"/>
    <n v="64"/>
    <n v="2025"/>
    <n v="2"/>
    <n v="3.1683168316831697E-2"/>
    <s v="Low"/>
    <n v="0.93379207920792096"/>
    <n v="29.4728125"/>
  </r>
  <r>
    <s v="CMP0236"/>
    <d v="2025-06-19T00:00:00"/>
    <x v="2"/>
    <x v="0"/>
    <n v="2545.5100000000002"/>
    <n v="317"/>
    <n v="62"/>
    <n v="2025"/>
    <n v="6"/>
    <n v="0.19558359621451099"/>
    <s v="High"/>
    <n v="8.0299999999999994"/>
    <n v="41.056612903225798"/>
  </r>
  <r>
    <s v="CMP0213"/>
    <d v="2026-03-05T00:00:00"/>
    <x v="0"/>
    <x v="0"/>
    <n v="3983.85"/>
    <n v="785"/>
    <n v="171"/>
    <n v="2026"/>
    <n v="3"/>
    <n v="0.21783439490445899"/>
    <s v="High"/>
    <n v="5.0749681528662398"/>
    <n v="23.2973684210526"/>
  </r>
  <r>
    <s v="CMP0284"/>
    <d v="2025-03-10T00:00:00"/>
    <x v="3"/>
    <x v="4"/>
    <n v="3390.61"/>
    <n v="426"/>
    <n v="129"/>
    <n v="2025"/>
    <n v="3"/>
    <n v="0.30281690140845102"/>
    <s v="High"/>
    <n v="7.9591784037558702"/>
    <n v="26.283798449612402"/>
  </r>
  <r>
    <s v="CMP0096"/>
    <d v="2025-05-03T00:00:00"/>
    <x v="3"/>
    <x v="6"/>
    <n v="4386.0600000000004"/>
    <n v="363"/>
    <n v="71"/>
    <n v="2025"/>
    <n v="5"/>
    <n v="0.195592286501377"/>
    <s v="High"/>
    <n v="12.0828099173554"/>
    <n v="61.775492957746501"/>
  </r>
  <r>
    <s v="CMP0250"/>
    <d v="2025-03-10T00:00:00"/>
    <x v="2"/>
    <x v="5"/>
    <n v="1162.7"/>
    <n v="264"/>
    <n v="51"/>
    <n v="2025"/>
    <n v="3"/>
    <n v="0.19318181818181801"/>
    <s v="High"/>
    <n v="4.4041666666666703"/>
    <n v="22.798039215686298"/>
  </r>
  <r>
    <s v="CMP0285"/>
    <d v="2025-02-02T00:00:00"/>
    <x v="5"/>
    <x v="4"/>
    <n v="4794.5"/>
    <n v="1097"/>
    <n v="164"/>
    <n v="2025"/>
    <n v="2"/>
    <n v="0.14949863263445801"/>
    <s v="Low"/>
    <n v="4.3705560619872399"/>
    <n v="29.234756097561"/>
  </r>
  <r>
    <s v="CMP0246"/>
    <d v="2025-05-20T00:00:00"/>
    <x v="0"/>
    <x v="0"/>
    <n v="1957.41"/>
    <n v="426"/>
    <n v="112"/>
    <n v="2025"/>
    <n v="5"/>
    <n v="0.26291079812206603"/>
    <s v="High"/>
    <n v="4.5948591549295799"/>
    <n v="17.476875"/>
  </r>
  <r>
    <s v="CMP0279"/>
    <d v="2025-10-04T00:00:00"/>
    <x v="3"/>
    <x v="1"/>
    <n v="3515.62"/>
    <n v="462"/>
    <n v="110"/>
    <n v="2025"/>
    <n v="10"/>
    <n v="0.238095238095238"/>
    <s v="High"/>
    <n v="7.6095670995670996"/>
    <n v="31.960181818181798"/>
  </r>
  <r>
    <s v="CMP0153"/>
    <d v="2025-04-20T00:00:00"/>
    <x v="2"/>
    <x v="2"/>
    <n v="3004.61"/>
    <n v="469"/>
    <n v="62"/>
    <n v="2025"/>
    <n v="4"/>
    <n v="0.13219616204690801"/>
    <s v="Low"/>
    <n v="6.4064179104477601"/>
    <n v="48.461451612903197"/>
  </r>
  <r>
    <s v="CMP0237"/>
    <d v="2025-11-28T00:00:00"/>
    <x v="4"/>
    <x v="3"/>
    <n v="4745.3500000000004"/>
    <n v="589"/>
    <n v="129"/>
    <n v="2025"/>
    <n v="11"/>
    <n v="0.219015280135823"/>
    <s v="High"/>
    <n v="8.0566213921901504"/>
    <n v="36.7856589147287"/>
  </r>
  <r>
    <s v="CMP0145"/>
    <d v="2026-04-22T00:00:00"/>
    <x v="4"/>
    <x v="2"/>
    <n v="4019.24"/>
    <n v="352"/>
    <n v="73"/>
    <n v="2026"/>
    <n v="4"/>
    <n v="0.20738636363636401"/>
    <s v="High"/>
    <n v="11.4182954545455"/>
    <n v="55.058082191780798"/>
  </r>
  <r>
    <s v="CMP0030"/>
    <d v="2025-01-22T00:00:00"/>
    <x v="4"/>
    <x v="0"/>
    <n v="604.73"/>
    <n v="124"/>
    <n v="21"/>
    <n v="2025"/>
    <n v="1"/>
    <n v="0.16935483870967699"/>
    <s v="Low"/>
    <n v="4.8768548387096802"/>
    <n v="28.796666666666699"/>
  </r>
  <r>
    <s v="NEW0008"/>
    <d v="2026-05-01T00:00:00"/>
    <x v="0"/>
    <x v="0"/>
    <n v="4255.3599999999997"/>
    <n v="958"/>
    <n v="73"/>
    <n v="2026"/>
    <n v="5"/>
    <n v="7.6200417536534504E-2"/>
    <s v="Low"/>
    <n v="4.44192066805845"/>
    <n v="58.292602739726"/>
  </r>
  <r>
    <s v="CMP0001"/>
    <d v="2025-08-02T00:00:00"/>
    <x v="4"/>
    <x v="1"/>
    <n v="1204.6600000000001"/>
    <n v="426"/>
    <n v="59"/>
    <n v="2025"/>
    <n v="8"/>
    <n v="0.13849765258216001"/>
    <s v="Low"/>
    <n v="2.82784037558686"/>
    <n v="20.417966101694901"/>
  </r>
  <r>
    <s v="CMP0105"/>
    <d v="2025-10-08T00:00:00"/>
    <x v="2"/>
    <x v="2"/>
    <n v="606.14"/>
    <n v="61"/>
    <n v="61"/>
    <n v="2025"/>
    <n v="10"/>
    <n v="1"/>
    <s v="High"/>
    <n v="9.9367213114754094"/>
    <n v="9.9367213114754094"/>
  </r>
  <r>
    <s v="CMP0200"/>
    <d v="2026-07-06T00:00:00"/>
    <x v="2"/>
    <x v="0"/>
    <n v="2072.73"/>
    <n v="291"/>
    <n v="53"/>
    <n v="2026"/>
    <n v="7"/>
    <n v="0.18213058419243999"/>
    <s v="Low"/>
    <n v="7.12278350515464"/>
    <n v="39.108113207547198"/>
  </r>
  <r>
    <s v="CMP0052"/>
    <d v="2025-09-14T00:00:00"/>
    <x v="3"/>
    <x v="6"/>
    <n v="2168.23"/>
    <n v="302"/>
    <n v="35"/>
    <n v="2025"/>
    <n v="9"/>
    <n v="0.115894039735099"/>
    <s v="Low"/>
    <n v="7.1795695364238403"/>
    <n v="61.949428571428598"/>
  </r>
  <r>
    <s v="CMP0283"/>
    <d v="2025-07-26T00:00:00"/>
    <x v="0"/>
    <x v="5"/>
    <n v="4432.42"/>
    <n v="953"/>
    <n v="211"/>
    <n v="2025"/>
    <n v="7"/>
    <n v="0.221406086044071"/>
    <s v="High"/>
    <n v="4.65101783840504"/>
    <n v="21.006729857819899"/>
  </r>
  <r>
    <s v="CMP0099"/>
    <d v="2025-08-14T00:00:00"/>
    <x v="0"/>
    <x v="0"/>
    <n v="2869.4949999999999"/>
    <n v="901"/>
    <n v="198"/>
    <n v="2025"/>
    <n v="8"/>
    <n v="0.21975582685904599"/>
    <s v="High"/>
    <n v="3.1847891231964498"/>
    <n v="14.492398989899"/>
  </r>
  <r>
    <s v="CMP0147"/>
    <d v="2026-01-05T00:00:00"/>
    <x v="0"/>
    <x v="2"/>
    <n v="2656.25"/>
    <n v="484"/>
    <n v="131"/>
    <n v="2026"/>
    <n v="1"/>
    <n v="0.27066115702479299"/>
    <s v="High"/>
    <n v="5.4881198347107398"/>
    <n v="20.276717557251899"/>
  </r>
  <r>
    <s v="CMP0036"/>
    <d v="2026-07-23T00:00:00"/>
    <x v="5"/>
    <x v="2"/>
    <n v="4681.12"/>
    <n v="461"/>
    <n v="43"/>
    <n v="2026"/>
    <n v="7"/>
    <n v="9.3275488069414297E-2"/>
    <s v="Low"/>
    <n v="10.154273318872001"/>
    <n v="108.863255813954"/>
  </r>
  <r>
    <s v="CMP0216"/>
    <d v="2025-12-31T00:00:00"/>
    <x v="5"/>
    <x v="2"/>
    <n v="1436.63"/>
    <n v="325"/>
    <n v="73"/>
    <n v="2025"/>
    <n v="12"/>
    <n v="0.22461538461538499"/>
    <s v="High"/>
    <n v="4.4203999999999999"/>
    <n v="19.679863013698601"/>
  </r>
  <r>
    <s v="CMP0241"/>
    <d v="2025-01-23T00:00:00"/>
    <x v="0"/>
    <x v="5"/>
    <n v="4866.42"/>
    <n v="484"/>
    <n v="130"/>
    <n v="2025"/>
    <n v="1"/>
    <n v="0.26859504132231399"/>
    <s v="High"/>
    <n v="10.0545867768595"/>
    <n v="37.433999999999997"/>
  </r>
  <r>
    <s v="CMP0076"/>
    <d v="2026-03-07T00:00:00"/>
    <x v="0"/>
    <x v="6"/>
    <n v="1750.35"/>
    <n v="310"/>
    <n v="82"/>
    <n v="2026"/>
    <n v="3"/>
    <n v="0.26451612903225802"/>
    <s v="High"/>
    <n v="5.64629032258064"/>
    <n v="21.3457317073171"/>
  </r>
  <r>
    <s v="CMP0137"/>
    <d v="2025-03-10T00:00:00"/>
    <x v="1"/>
    <x v="1"/>
    <n v="4171.16"/>
    <n v="800"/>
    <n v="160"/>
    <n v="2025"/>
    <n v="3"/>
    <n v="0.2"/>
    <s v="High"/>
    <n v="5.2139499999999996"/>
    <n v="26.069749999999999"/>
  </r>
  <r>
    <s v="CMP0234"/>
    <d v="2025-11-28T00:00:00"/>
    <x v="2"/>
    <x v="0"/>
    <n v="2869.4949999999999"/>
    <n v="757"/>
    <n v="84"/>
    <n v="2025"/>
    <n v="11"/>
    <n v="0.11096433289299901"/>
    <s v="Low"/>
    <n v="3.7906142668428"/>
    <n v="34.160654761904802"/>
  </r>
  <r>
    <s v="CMP0191"/>
    <d v="2026-06-22T00:00:00"/>
    <x v="0"/>
    <x v="4"/>
    <n v="3586.84"/>
    <n v="484"/>
    <n v="119"/>
    <n v="2026"/>
    <n v="6"/>
    <n v="0.245867768595041"/>
    <s v="High"/>
    <n v="7.4108264462809901"/>
    <n v="30.141512605041999"/>
  </r>
  <r>
    <s v="CMP0014"/>
    <d v="2025-04-11T00:00:00"/>
    <x v="1"/>
    <x v="0"/>
    <n v="3209.43"/>
    <n v="588"/>
    <n v="135"/>
    <n v="2025"/>
    <n v="4"/>
    <n v="0.22959183673469399"/>
    <s v="High"/>
    <n v="5.4582142857142903"/>
    <n v="23.7735555555556"/>
  </r>
  <r>
    <s v="CMP0112"/>
    <d v="2026-01-15T00:00:00"/>
    <x v="0"/>
    <x v="6"/>
    <n v="3566.31"/>
    <n v="426"/>
    <n v="112"/>
    <n v="2026"/>
    <n v="1"/>
    <n v="0.26291079812206603"/>
    <s v="High"/>
    <n v="8.3716197183098604"/>
    <n v="31.8420535714286"/>
  </r>
  <r>
    <s v="CMP0166"/>
    <d v="2025-10-11T00:00:00"/>
    <x v="0"/>
    <x v="6"/>
    <n v="1846.32"/>
    <n v="335"/>
    <n v="74"/>
    <n v="2025"/>
    <n v="10"/>
    <n v="0.22089552238806001"/>
    <s v="High"/>
    <n v="5.5114029850746302"/>
    <n v="24.950270270270298"/>
  </r>
  <r>
    <s v="CMP0240"/>
    <d v="2025-09-15T00:00:00"/>
    <x v="5"/>
    <x v="0"/>
    <n v="-9"/>
    <n v="728"/>
    <n v="36"/>
    <n v="2025"/>
    <n v="9"/>
    <n v="4.9450549450549497E-2"/>
    <s v="Low"/>
    <n v="-1.23626373626374E-2"/>
    <n v="-0.25"/>
  </r>
  <r>
    <s v="CMP0045"/>
    <d v="2026-05-19T00:00:00"/>
    <x v="2"/>
    <x v="4"/>
    <n v="2468.4899999999998"/>
    <n v="507"/>
    <n v="47"/>
    <n v="2026"/>
    <n v="5"/>
    <n v="9.2702169625246605E-2"/>
    <s v="Low"/>
    <n v="4.8688165680473396"/>
    <n v="52.521063829787202"/>
  </r>
  <r>
    <s v="CMP0081"/>
    <d v="2026-03-24T00:00:00"/>
    <x v="5"/>
    <x v="5"/>
    <n v="4251.95"/>
    <n v="426"/>
    <n v="32"/>
    <n v="2026"/>
    <n v="3"/>
    <n v="7.5117370892018795E-2"/>
    <s v="Low"/>
    <n v="9.9811032863849807"/>
    <n v="132.87343749999999"/>
  </r>
  <r>
    <s v="CMP0165"/>
    <d v="2025-10-11T00:00:00"/>
    <x v="4"/>
    <x v="2"/>
    <n v="1351.61"/>
    <n v="295"/>
    <n v="66"/>
    <n v="2025"/>
    <n v="10"/>
    <n v="0.223728813559322"/>
    <s v="High"/>
    <n v="4.5817288135593204"/>
    <n v="20.478939393939399"/>
  </r>
  <r>
    <s v="CMP0004"/>
    <d v="2025-06-10T00:00:00"/>
    <x v="2"/>
    <x v="6"/>
    <n v="2984.14"/>
    <n v="517"/>
    <n v="110"/>
    <n v="2025"/>
    <n v="6"/>
    <n v="0.21276595744680901"/>
    <s v="High"/>
    <n v="5.7720309477756304"/>
    <n v="27.128545454545499"/>
  </r>
  <r>
    <s v="CMP0172"/>
    <d v="2025-11-11T00:00:00"/>
    <x v="3"/>
    <x v="6"/>
    <n v="895.61"/>
    <n v="426"/>
    <n v="41"/>
    <n v="2025"/>
    <n v="11"/>
    <n v="9.6244131455399104E-2"/>
    <s v="Low"/>
    <n v="2.1023708920187798"/>
    <n v="21.8441463414634"/>
  </r>
  <r>
    <s v="CMP0140"/>
    <d v="2025-03-29T00:00:00"/>
    <x v="4"/>
    <x v="0"/>
    <n v="3589.39"/>
    <n v="740"/>
    <n v="168"/>
    <n v="2025"/>
    <n v="3"/>
    <n v="0.22702702702702701"/>
    <s v="High"/>
    <n v="4.85052702702703"/>
    <n v="21.3654166666667"/>
  </r>
  <r>
    <s v="CMP0072"/>
    <d v="2025-12-04T00:00:00"/>
    <x v="4"/>
    <x v="0"/>
    <n v="3437.29"/>
    <n v="525"/>
    <n v="158"/>
    <n v="2025"/>
    <n v="12"/>
    <n v="0.30095238095238103"/>
    <s v="High"/>
    <n v="6.5472190476190502"/>
    <n v="21.754999999999999"/>
  </r>
  <r>
    <s v="CMP0256"/>
    <d v="2026-03-26T00:00:00"/>
    <x v="5"/>
    <x v="0"/>
    <n v="2604.7199999999998"/>
    <n v="214"/>
    <n v="73"/>
    <n v="2026"/>
    <n v="3"/>
    <n v="0.34112149532710301"/>
    <s v="High"/>
    <n v="12.171588785046699"/>
    <n v="35.681095890411001"/>
  </r>
  <r>
    <s v="CMP0205"/>
    <d v="2026-01-23T00:00:00"/>
    <x v="2"/>
    <x v="0"/>
    <n v="2106.4499999999998"/>
    <n v="520"/>
    <n v="85"/>
    <n v="2026"/>
    <n v="1"/>
    <n v="0.16346153846153899"/>
    <s v="Low"/>
    <n v="4.0508653846153804"/>
    <n v="24.781764705882399"/>
  </r>
  <r>
    <s v="CMP0190"/>
    <d v="2026-03-28T00:00:00"/>
    <x v="1"/>
    <x v="2"/>
    <n v="3757.81"/>
    <n v="399"/>
    <n v="52"/>
    <n v="2026"/>
    <n v="3"/>
    <n v="0.13032581453634101"/>
    <s v="Low"/>
    <n v="9.4180701754386007"/>
    <n v="72.265576923076907"/>
  </r>
  <r>
    <s v="CMP0053"/>
    <d v="2025-04-19T00:00:00"/>
    <x v="3"/>
    <x v="2"/>
    <n v="758.47"/>
    <n v="150"/>
    <n v="33"/>
    <n v="2025"/>
    <n v="4"/>
    <n v="0.22"/>
    <s v="High"/>
    <n v="5.0564666666666698"/>
    <n v="22.983939393939401"/>
  </r>
  <r>
    <s v="CMP0235"/>
    <d v="2025-02-13T00:00:00"/>
    <x v="0"/>
    <x v="2"/>
    <n v="3453.41"/>
    <n v="860"/>
    <n v="230"/>
    <n v="2025"/>
    <n v="2"/>
    <n v="0.26744186046511598"/>
    <s v="High"/>
    <n v="4.0155930232558097"/>
    <n v="15.0148260869565"/>
  </r>
  <r>
    <s v="CMP0101"/>
    <d v="2025-05-08T00:00:00"/>
    <x v="1"/>
    <x v="5"/>
    <n v="3113.76"/>
    <n v="646"/>
    <n v="184"/>
    <n v="2025"/>
    <n v="5"/>
    <n v="0.284829721362229"/>
    <s v="High"/>
    <n v="4.8200619195046404"/>
    <n v="16.922608695652201"/>
  </r>
  <r>
    <s v="CMP0070"/>
    <d v="2025-03-31T00:00:00"/>
    <x v="5"/>
    <x v="2"/>
    <n v="2706.78"/>
    <n v="224"/>
    <n v="30"/>
    <n v="2025"/>
    <n v="3"/>
    <n v="0.13392857142857101"/>
    <s v="Low"/>
    <n v="12.0838392857143"/>
    <n v="90.225999999999999"/>
  </r>
  <r>
    <s v="CMP0155"/>
    <d v="2025-07-07T00:00:00"/>
    <x v="1"/>
    <x v="0"/>
    <n v="2406.87"/>
    <n v="496"/>
    <n v="96"/>
    <n v="2025"/>
    <n v="7"/>
    <n v="0.19354838709677399"/>
    <s v="High"/>
    <n v="4.8525604838709704"/>
    <n v="25.071562499999999"/>
  </r>
  <r>
    <s v="CMP0211"/>
    <d v="2026-01-12T00:00:00"/>
    <x v="1"/>
    <x v="2"/>
    <n v="2269.65"/>
    <n v="233"/>
    <n v="23"/>
    <n v="2026"/>
    <n v="1"/>
    <n v="9.8712446351931299E-2"/>
    <s v="Low"/>
    <n v="9.7409871244635209"/>
    <n v="98.6804347826087"/>
  </r>
  <r>
    <s v="CMP0163"/>
    <d v="2025-08-14T00:00:00"/>
    <x v="2"/>
    <x v="2"/>
    <n v="1957.35"/>
    <n v="435"/>
    <n v="49"/>
    <n v="2025"/>
    <n v="8"/>
    <n v="0.11264367816092"/>
    <s v="Low"/>
    <n v="4.4996551724137896"/>
    <n v="39.945918367346898"/>
  </r>
  <r>
    <s v="CMP0252"/>
    <d v="2025-12-14T00:00:00"/>
    <x v="2"/>
    <x v="2"/>
    <n v="4875.24"/>
    <n v="1160"/>
    <n v="174"/>
    <n v="2025"/>
    <n v="12"/>
    <n v="0.15"/>
    <s v="Low"/>
    <n v="4.2027931034482799"/>
    <n v="28.018620689655201"/>
  </r>
  <r>
    <s v="CMP0015"/>
    <d v="2026-01-06T00:00:00"/>
    <x v="1"/>
    <x v="6"/>
    <n v="1839.96"/>
    <n v="417"/>
    <n v="417"/>
    <n v="2026"/>
    <n v="1"/>
    <n v="1"/>
    <s v="High"/>
    <n v="4.4123741007194299"/>
    <n v="4.4123741007194299"/>
  </r>
  <r>
    <s v="CMP0192"/>
    <d v="2025-01-28T00:00:00"/>
    <x v="0"/>
    <x v="1"/>
    <n v="4324.55"/>
    <n v="801"/>
    <n v="155"/>
    <n v="2025"/>
    <n v="1"/>
    <n v="0.19350811485642999"/>
    <s v="High"/>
    <n v="5.39893882646692"/>
    <n v="27.900322580645199"/>
  </r>
  <r>
    <s v="CMP0243"/>
    <d v="2025-10-25T00:00:00"/>
    <x v="2"/>
    <x v="2"/>
    <n v="2066.77"/>
    <n v="191"/>
    <n v="15"/>
    <n v="2025"/>
    <n v="10"/>
    <n v="7.8534031413612607E-2"/>
    <s v="Low"/>
    <n v="10.820785340314099"/>
    <n v="137.78466666666699"/>
  </r>
  <r>
    <s v="CMP0126"/>
    <d v="2026-03-22T00:00:00"/>
    <x v="4"/>
    <x v="0"/>
    <n v="4671.55"/>
    <n v="447"/>
    <n v="104"/>
    <n v="2026"/>
    <n v="3"/>
    <n v="0.23266219239373601"/>
    <s v="High"/>
    <n v="10.4508948545861"/>
    <n v="44.918750000000003"/>
  </r>
  <r>
    <s v="CMP0056"/>
    <d v="2026-05-05T00:00:00"/>
    <x v="2"/>
    <x v="1"/>
    <n v="1554.65"/>
    <n v="330"/>
    <n v="73"/>
    <n v="2026"/>
    <n v="5"/>
    <n v="0.221212121212121"/>
    <s v="High"/>
    <n v="4.7110606060606104"/>
    <n v="21.2965753424658"/>
  </r>
  <r>
    <s v="CMP0034"/>
    <d v="2025-10-31T00:00:00"/>
    <x v="0"/>
    <x v="0"/>
    <n v="1486.86"/>
    <n v="163"/>
    <n v="44"/>
    <n v="2025"/>
    <n v="10"/>
    <n v="0.26993865030674902"/>
    <s v="High"/>
    <n v="9.1218404907975508"/>
    <n v="33.792272727272703"/>
  </r>
  <r>
    <s v="CMP0026"/>
    <d v="2026-05-07T00:00:00"/>
    <x v="0"/>
    <x v="0"/>
    <n v="4162.01"/>
    <n v="572"/>
    <n v="103"/>
    <n v="2026"/>
    <n v="5"/>
    <n v="0.18006993006993"/>
    <s v="Low"/>
    <n v="7.2762412587412602"/>
    <n v="40.407864077669899"/>
  </r>
  <r>
    <s v="CMP0276"/>
    <d v="2025-07-31T00:00:00"/>
    <x v="3"/>
    <x v="0"/>
    <n v="4816.16"/>
    <n v="1036"/>
    <n v="207"/>
    <n v="2025"/>
    <n v="7"/>
    <n v="0.19980694980694999"/>
    <s v="High"/>
    <n v="4.6488030888030902"/>
    <n v="23.266473429951699"/>
  </r>
  <r>
    <s v="CMP0128"/>
    <d v="2025-02-21T00:00:00"/>
    <x v="0"/>
    <x v="0"/>
    <n v="2869.4949999999999"/>
    <n v="520"/>
    <n v="147"/>
    <n v="2025"/>
    <n v="2"/>
    <n v="0.28269230769230802"/>
    <s v="High"/>
    <n v="5.5182596153846202"/>
    <n v="19.520374149659901"/>
  </r>
  <r>
    <s v="NEW0009"/>
    <d v="2025-09-04T00:00:00"/>
    <x v="0"/>
    <x v="2"/>
    <n v="3197.3"/>
    <n v="300"/>
    <n v="78"/>
    <n v="2025"/>
    <n v="9"/>
    <n v="0.26"/>
    <s v="High"/>
    <n v="10.657666666666699"/>
    <n v="40.991025641025601"/>
  </r>
  <r>
    <s v="CMP0273"/>
    <d v="2026-04-12T00:00:00"/>
    <x v="0"/>
    <x v="6"/>
    <n v="2869.4949999999999"/>
    <n v="750"/>
    <n v="183"/>
    <n v="2026"/>
    <n v="4"/>
    <n v="0.24399999999999999"/>
    <s v="High"/>
    <n v="3.8259933333333298"/>
    <n v="15.6803005464481"/>
  </r>
  <r>
    <s v="NEW0010"/>
    <d v="2026-04-06T00:00:00"/>
    <x v="2"/>
    <x v="0"/>
    <n v="4360.6899999999996"/>
    <n v="883"/>
    <n v="151"/>
    <n v="2026"/>
    <n v="4"/>
    <n v="0.171007927519819"/>
    <s v="Low"/>
    <n v="4.9384937712344303"/>
    <n v="28.878741721854301"/>
  </r>
  <r>
    <s v="CMP0064"/>
    <d v="2026-02-22T00:00:00"/>
    <x v="0"/>
    <x v="0"/>
    <n v="509.05"/>
    <n v="426"/>
    <n v="15"/>
    <n v="2026"/>
    <n v="2"/>
    <n v="3.5211267605633798E-2"/>
    <s v="Low"/>
    <n v="1.1949530516431901"/>
    <n v="33.936666666666703"/>
  </r>
  <r>
    <s v="CMP0253"/>
    <d v="2025-07-18T00:00:00"/>
    <x v="5"/>
    <x v="4"/>
    <n v="3099.62"/>
    <n v="260"/>
    <n v="24"/>
    <n v="2025"/>
    <n v="7"/>
    <n v="9.2307692307692299E-2"/>
    <s v="Low"/>
    <n v="11.9216153846154"/>
    <n v="129.150833333333"/>
  </r>
  <r>
    <s v="CMP0189"/>
    <d v="2026-01-24T00:00:00"/>
    <x v="0"/>
    <x v="1"/>
    <n v="1406.28"/>
    <n v="308"/>
    <n v="84"/>
    <n v="2026"/>
    <n v="1"/>
    <n v="0.27272727272727298"/>
    <s v="High"/>
    <n v="4.56584415584416"/>
    <n v="16.7414285714286"/>
  </r>
  <r>
    <s v="CMP0225"/>
    <d v="2026-05-23T00:00:00"/>
    <x v="2"/>
    <x v="6"/>
    <n v="3075.69"/>
    <n v="253"/>
    <n v="49"/>
    <n v="2026"/>
    <n v="5"/>
    <n v="0.19367588932806301"/>
    <s v="High"/>
    <n v="12.156877470355701"/>
    <n v="62.769183673469399"/>
  </r>
  <r>
    <s v="CMP0255"/>
    <d v="2025-10-11T00:00:00"/>
    <x v="5"/>
    <x v="0"/>
    <n v="1058.8800000000001"/>
    <n v="160"/>
    <n v="10"/>
    <n v="2025"/>
    <n v="10"/>
    <n v="6.25E-2"/>
    <s v="Low"/>
    <n v="6.6180000000000003"/>
    <n v="105.88800000000001"/>
  </r>
  <r>
    <s v="CMP0186"/>
    <d v="2025-02-06T00:00:00"/>
    <x v="5"/>
    <x v="0"/>
    <n v="1708.14"/>
    <n v="384"/>
    <n v="30"/>
    <n v="2025"/>
    <n v="2"/>
    <n v="7.8125E-2"/>
    <s v="Low"/>
    <n v="4.44828125"/>
    <n v="56.938000000000002"/>
  </r>
  <r>
    <s v="CMP0158"/>
    <d v="2026-02-13T00:00:00"/>
    <x v="0"/>
    <x v="1"/>
    <n v="3360.35"/>
    <n v="731"/>
    <n v="210"/>
    <n v="2026"/>
    <n v="2"/>
    <n v="0.28727770177838602"/>
    <s v="High"/>
    <n v="4.5969220246238001"/>
    <n v="16.001666666666701"/>
  </r>
  <r>
    <s v="CMP0129"/>
    <d v="2026-04-20T00:00:00"/>
    <x v="2"/>
    <x v="2"/>
    <n v="4637.84"/>
    <n v="586"/>
    <n v="67"/>
    <n v="2026"/>
    <n v="4"/>
    <n v="0.114334470989761"/>
    <s v="Low"/>
    <n v="7.9144027303754303"/>
    <n v="69.221492537313395"/>
  </r>
  <r>
    <s v="CMP0146"/>
    <d v="2026-07-22T00:00:00"/>
    <x v="2"/>
    <x v="2"/>
    <n v="2869.4949999999999"/>
    <n v="756"/>
    <n v="94"/>
    <n v="2026"/>
    <n v="7"/>
    <n v="0.124338624338624"/>
    <s v="Low"/>
    <n v="3.7956283068783101"/>
    <n v="30.526542553191501"/>
  </r>
  <r>
    <s v="CMP0054"/>
    <d v="2026-03-20T00:00:00"/>
    <x v="2"/>
    <x v="2"/>
    <n v="564.82000000000005"/>
    <n v="92"/>
    <n v="16"/>
    <n v="2026"/>
    <n v="3"/>
    <n v="0.173913043478261"/>
    <s v="Low"/>
    <n v="6.1393478260869596"/>
    <n v="35.301250000000003"/>
  </r>
  <r>
    <s v="CMP0174"/>
    <d v="2026-01-28T00:00:00"/>
    <x v="3"/>
    <x v="4"/>
    <n v="4084.51"/>
    <n v="978"/>
    <n v="175"/>
    <n v="2026"/>
    <n v="1"/>
    <n v="0.178936605316973"/>
    <s v="Low"/>
    <n v="4.1763905930470404"/>
    <n v="23.340057142857098"/>
  </r>
  <r>
    <s v="CMP0223"/>
    <d v="2025-09-26T00:00:00"/>
    <x v="1"/>
    <x v="2"/>
    <n v="2963.92"/>
    <n v="728"/>
    <n v="109"/>
    <n v="2025"/>
    <n v="9"/>
    <n v="0.149725274725275"/>
    <s v="Low"/>
    <n v="4.0713186813186804"/>
    <n v="27.191926605504602"/>
  </r>
  <r>
    <s v="CMP0202"/>
    <d v="2025-11-26T00:00:00"/>
    <x v="3"/>
    <x v="1"/>
    <n v="4031.15"/>
    <n v="324"/>
    <n v="73"/>
    <n v="2025"/>
    <n v="11"/>
    <n v="0.225308641975309"/>
    <s v="High"/>
    <n v="12.4418209876543"/>
    <n v="55.2212328767123"/>
  </r>
  <r>
    <s v="CMP0261"/>
    <d v="2025-10-11T00:00:00"/>
    <x v="2"/>
    <x v="1"/>
    <n v="2638.6"/>
    <n v="350"/>
    <n v="52"/>
    <n v="2025"/>
    <n v="10"/>
    <n v="0.14857142857142899"/>
    <s v="Low"/>
    <n v="7.5388571428571396"/>
    <n v="50.742307692307698"/>
  </r>
  <r>
    <s v="CMP0024"/>
    <d v="2025-01-25T00:00:00"/>
    <x v="5"/>
    <x v="0"/>
    <n v="3839.36"/>
    <n v="676"/>
    <n v="32"/>
    <n v="2025"/>
    <n v="1"/>
    <n v="4.7337278106508902E-2"/>
    <s v="Low"/>
    <n v="5.67952662721894"/>
    <n v="119.98"/>
  </r>
  <r>
    <s v="CMP0170"/>
    <d v="2025-02-21T00:00:00"/>
    <x v="2"/>
    <x v="0"/>
    <n v="419.97"/>
    <n v="46"/>
    <n v="6"/>
    <n v="2025"/>
    <n v="2"/>
    <n v="0.13043478260869601"/>
    <s v="Low"/>
    <n v="9.1297826086956508"/>
    <n v="69.995000000000005"/>
  </r>
  <r>
    <s v="CMP0127"/>
    <d v="2025-01-03T00:00:00"/>
    <x v="2"/>
    <x v="0"/>
    <n v="2033.78"/>
    <n v="454"/>
    <n v="63"/>
    <n v="2025"/>
    <n v="1"/>
    <n v="0.13876651982378899"/>
    <s v="Low"/>
    <n v="4.4796916299559504"/>
    <n v="32.282222222222202"/>
  </r>
  <r>
    <s v="CMP0074"/>
    <d v="2025-06-22T00:00:00"/>
    <x v="3"/>
    <x v="2"/>
    <n v="2615.8200000000002"/>
    <n v="529"/>
    <n v="102"/>
    <n v="2025"/>
    <n v="6"/>
    <n v="0.19281663516068101"/>
    <s v="High"/>
    <n v="4.9448393194706997"/>
    <n v="25.645294117647101"/>
  </r>
  <r>
    <s v="CMP0106"/>
    <d v="2026-07-15T00:00:00"/>
    <x v="0"/>
    <x v="4"/>
    <n v="4146.0600000000004"/>
    <n v="668"/>
    <n v="192"/>
    <n v="2026"/>
    <n v="7"/>
    <n v="0.28742514970059901"/>
    <s v="High"/>
    <n v="6.2066766467065904"/>
    <n v="21.5940625"/>
  </r>
  <r>
    <s v="CMP0178"/>
    <d v="2025-05-20T00:00:00"/>
    <x v="3"/>
    <x v="5"/>
    <n v="2869.4949999999999"/>
    <n v="64"/>
    <n v="12"/>
    <n v="2025"/>
    <n v="5"/>
    <n v="0.1875"/>
    <s v="Low"/>
    <n v="44.835859374999998"/>
    <n v="239.12458333333299"/>
  </r>
  <r>
    <s v="CMP0133"/>
    <d v="2026-05-15T00:00:00"/>
    <x v="2"/>
    <x v="0"/>
    <n v="3851.93"/>
    <n v="472"/>
    <n v="37"/>
    <n v="2026"/>
    <n v="5"/>
    <n v="7.8389830508474603E-2"/>
    <s v="Low"/>
    <n v="8.1608686440678007"/>
    <n v="104.106216216216"/>
  </r>
  <r>
    <s v="NEW0011"/>
    <d v="2026-01-21T00:00:00"/>
    <x v="0"/>
    <x v="6"/>
    <n v="2903.71"/>
    <n v="352"/>
    <n v="114"/>
    <n v="2026"/>
    <n v="1"/>
    <n v="0.32386363636363602"/>
    <s v="High"/>
    <n v="8.2491761363636407"/>
    <n v="25.471140350877199"/>
  </r>
  <r>
    <s v="CMP0078"/>
    <d v="2026-05-12T00:00:00"/>
    <x v="0"/>
    <x v="1"/>
    <n v="2869.4949999999999"/>
    <n v="501"/>
    <n v="140"/>
    <n v="2026"/>
    <n v="5"/>
    <n v="0.279441117764471"/>
    <s v="High"/>
    <n v="5.7275349301397203"/>
    <n v="20.496392857142901"/>
  </r>
  <r>
    <s v="CMP0245"/>
    <d v="2025-06-30T00:00:00"/>
    <x v="3"/>
    <x v="0"/>
    <n v="4645.7299999999996"/>
    <n v="402"/>
    <n v="96"/>
    <n v="2025"/>
    <n v="6"/>
    <n v="0.238805970149254"/>
    <s v="High"/>
    <n v="11.5565422885572"/>
    <n v="48.393020833333303"/>
  </r>
  <r>
    <s v="CMP0290"/>
    <d v="2026-07-04T00:00:00"/>
    <x v="2"/>
    <x v="0"/>
    <n v="3317.64"/>
    <n v="470"/>
    <n v="42"/>
    <n v="2026"/>
    <n v="7"/>
    <n v="8.9361702127659606E-2"/>
    <s v="Low"/>
    <n v="7.0588085106382996"/>
    <n v="78.9914285714286"/>
  </r>
  <r>
    <s v="CMP0258"/>
    <d v="2025-03-09T00:00:00"/>
    <x v="0"/>
    <x v="2"/>
    <n v="1789.2"/>
    <n v="221"/>
    <n v="73"/>
    <n v="2025"/>
    <n v="3"/>
    <n v="0.33031674208144801"/>
    <s v="High"/>
    <n v="8.0959276018099509"/>
    <n v="24.5095890410959"/>
  </r>
  <r>
    <s v="CMP0071"/>
    <d v="2026-02-06T00:00:00"/>
    <x v="0"/>
    <x v="4"/>
    <n v="2206.5300000000002"/>
    <n v="239"/>
    <n v="52"/>
    <n v="2026"/>
    <n v="2"/>
    <n v="0.21757322175732199"/>
    <s v="High"/>
    <n v="9.2323430962343096"/>
    <n v="42.433269230769199"/>
  </r>
  <r>
    <s v="CMP0233"/>
    <d v="2025-05-03T00:00:00"/>
    <x v="0"/>
    <x v="2"/>
    <n v="2558.88"/>
    <n v="239"/>
    <n v="64"/>
    <n v="2025"/>
    <n v="5"/>
    <n v="0.26778242677824299"/>
    <s v="High"/>
    <n v="10.706610878661101"/>
    <n v="39.982500000000002"/>
  </r>
  <r>
    <s v="CMP0251"/>
    <d v="2025-10-11T00:00:00"/>
    <x v="0"/>
    <x v="1"/>
    <n v="285.8"/>
    <n v="69"/>
    <n v="16"/>
    <n v="2025"/>
    <n v="10"/>
    <n v="0.231884057971015"/>
    <s v="High"/>
    <n v="4.1420289855072498"/>
    <n v="17.862500000000001"/>
  </r>
  <r>
    <s v="CMP0203"/>
    <d v="2025-10-11T00:00:00"/>
    <x v="5"/>
    <x v="4"/>
    <n v="4400.18"/>
    <n v="973"/>
    <n v="59"/>
    <n v="2025"/>
    <n v="10"/>
    <n v="6.0637204522096602E-2"/>
    <s v="Low"/>
    <n v="4.5222816032887998"/>
    <n v="74.579322033898293"/>
  </r>
  <r>
    <s v="CMP0097"/>
    <d v="2025-06-22T00:00:00"/>
    <x v="0"/>
    <x v="4"/>
    <n v="405.35"/>
    <n v="51"/>
    <n v="12"/>
    <n v="2025"/>
    <n v="6"/>
    <n v="0.23529411764705899"/>
    <s v="High"/>
    <n v="7.94803921568628"/>
    <n v="33.779166666666697"/>
  </r>
  <r>
    <s v="CMP0130"/>
    <d v="2025-11-25T00:00:00"/>
    <x v="5"/>
    <x v="2"/>
    <n v="2575.3200000000002"/>
    <n v="228"/>
    <n v="28"/>
    <n v="2025"/>
    <n v="11"/>
    <n v="0.12280701754386"/>
    <s v="Low"/>
    <n v="11.2952631578947"/>
    <n v="91.975714285714304"/>
  </r>
  <r>
    <s v="CMP0150"/>
    <d v="2025-09-12T00:00:00"/>
    <x v="0"/>
    <x v="0"/>
    <n v="4144.67"/>
    <n v="426"/>
    <n v="185"/>
    <n v="2025"/>
    <n v="9"/>
    <n v="0.43427230046948401"/>
    <s v="High"/>
    <n v="9.7292723004694803"/>
    <n v="22.4036216216216"/>
  </r>
  <r>
    <s v="NEW0012"/>
    <d v="2025-11-24T00:00:00"/>
    <x v="0"/>
    <x v="2"/>
    <n v="1564.78"/>
    <n v="365"/>
    <n v="105"/>
    <n v="2025"/>
    <n v="11"/>
    <n v="0.28767123287671198"/>
    <s v="High"/>
    <n v="4.2870684931506897"/>
    <n v="14.9026666666667"/>
  </r>
  <r>
    <s v="CMP0151"/>
    <d v="2026-07-12T00:00:00"/>
    <x v="5"/>
    <x v="0"/>
    <n v="3332.51"/>
    <n v="781"/>
    <n v="107"/>
    <n v="2026"/>
    <n v="7"/>
    <n v="0.13700384122919301"/>
    <s v="Low"/>
    <n v="4.2669782330345702"/>
    <n v="31.144953271028001"/>
  </r>
  <r>
    <s v="CMP0067"/>
    <d v="2025-02-04T00:00:00"/>
    <x v="0"/>
    <x v="1"/>
    <n v="3849.68"/>
    <n v="650"/>
    <n v="159"/>
    <n v="2025"/>
    <n v="2"/>
    <n v="0.24461538461538501"/>
    <s v="High"/>
    <n v="5.9225846153846202"/>
    <n v="24.211823899371101"/>
  </r>
  <r>
    <s v="CMP0079"/>
    <d v="2025-04-30T00:00:00"/>
    <x v="0"/>
    <x v="6"/>
    <n v="1025.83"/>
    <n v="98"/>
    <n v="26"/>
    <n v="2025"/>
    <n v="4"/>
    <n v="0.26530612244898"/>
    <s v="High"/>
    <n v="10.4676530612245"/>
    <n v="39.454999999999998"/>
  </r>
  <r>
    <s v="CMP0009"/>
    <d v="2025-06-28T00:00:00"/>
    <x v="4"/>
    <x v="2"/>
    <n v="2097.84"/>
    <n v="308"/>
    <n v="81"/>
    <n v="2025"/>
    <n v="6"/>
    <n v="0.26298701298701299"/>
    <s v="High"/>
    <n v="6.8111688311688301"/>
    <n v="25.899259259259299"/>
  </r>
  <r>
    <s v="CMP0135"/>
    <d v="2026-07-02T00:00:00"/>
    <x v="4"/>
    <x v="0"/>
    <n v="614.20000000000005"/>
    <n v="426"/>
    <n v="24"/>
    <n v="2026"/>
    <n v="7"/>
    <n v="5.63380281690141E-2"/>
    <s v="Low"/>
    <n v="1.4417840375586899"/>
    <n v="25.591666666666701"/>
  </r>
  <r>
    <s v="CMP0221"/>
    <d v="2025-09-23T00:00:00"/>
    <x v="0"/>
    <x v="0"/>
    <n v="260.11"/>
    <n v="48"/>
    <n v="48"/>
    <n v="2025"/>
    <n v="9"/>
    <n v="1"/>
    <s v="High"/>
    <n v="5.4189583333333298"/>
    <n v="5.4189583333333298"/>
  </r>
  <r>
    <s v="CMP0136"/>
    <d v="2026-06-30T00:00:00"/>
    <x v="2"/>
    <x v="1"/>
    <n v="4747.93"/>
    <n v="1026"/>
    <n v="112"/>
    <n v="2026"/>
    <n v="6"/>
    <n v="0.10916179337232"/>
    <s v="Low"/>
    <n v="4.6276120857699796"/>
    <n v="42.392232142857203"/>
  </r>
  <r>
    <s v="CMP0117"/>
    <d v="2025-12-29T00:00:00"/>
    <x v="5"/>
    <x v="0"/>
    <n v="4762.8900000000003"/>
    <n v="976"/>
    <n v="131"/>
    <n v="2025"/>
    <n v="12"/>
    <n v="0.13422131147541"/>
    <s v="Low"/>
    <n v="4.8800102459016399"/>
    <n v="36.357938931297703"/>
  </r>
  <r>
    <s v="CMP0265"/>
    <d v="2026-04-01T00:00:00"/>
    <x v="0"/>
    <x v="0"/>
    <n v="2584.02"/>
    <n v="362"/>
    <n v="97"/>
    <n v="2026"/>
    <n v="4"/>
    <n v="0.26795580110497202"/>
    <s v="High"/>
    <n v="7.1381767955801099"/>
    <n v="26.639381443299001"/>
  </r>
  <r>
    <s v="CMP0065"/>
    <d v="2026-03-31T00:00:00"/>
    <x v="4"/>
    <x v="6"/>
    <n v="4009.21"/>
    <n v="513"/>
    <n v="143"/>
    <n v="2026"/>
    <n v="3"/>
    <n v="0.27875243664717397"/>
    <s v="High"/>
    <n v="7.8152241715399597"/>
    <n v="28.036433566433601"/>
  </r>
  <r>
    <s v="CMP0247"/>
    <d v="2026-07-06T00:00:00"/>
    <x v="5"/>
    <x v="3"/>
    <n v="1877.5"/>
    <n v="306"/>
    <n v="41"/>
    <n v="2026"/>
    <n v="7"/>
    <n v="0.13398692810457499"/>
    <s v="Low"/>
    <n v="6.1356209150326801"/>
    <n v="45.792682926829301"/>
  </r>
  <r>
    <s v="CMP0199"/>
    <d v="2025-08-09T00:00:00"/>
    <x v="5"/>
    <x v="1"/>
    <n v="1584.15"/>
    <n v="220"/>
    <n v="32"/>
    <n v="2025"/>
    <n v="8"/>
    <n v="0.145454545454545"/>
    <s v="Low"/>
    <n v="7.2006818181818204"/>
    <n v="49.504687500000003"/>
  </r>
  <r>
    <s v="CMP0016"/>
    <d v="2025-10-09T00:00:00"/>
    <x v="0"/>
    <x v="2"/>
    <n v="1442.63"/>
    <n v="426"/>
    <n v="52"/>
    <n v="2025"/>
    <n v="10"/>
    <n v="0.122065727699531"/>
    <s v="Low"/>
    <n v="3.3864553990610302"/>
    <n v="27.7428846153846"/>
  </r>
  <r>
    <s v="CMP0020"/>
    <d v="2025-11-27T00:00:00"/>
    <x v="2"/>
    <x v="3"/>
    <n v="3928.3"/>
    <n v="951"/>
    <n v="145"/>
    <n v="2025"/>
    <n v="11"/>
    <n v="0.15247108307045201"/>
    <s v="Low"/>
    <n v="4.1307045215562601"/>
    <n v="27.091724137930999"/>
  </r>
  <r>
    <s v="CMP0171"/>
    <d v="2026-05-02T00:00:00"/>
    <x v="3"/>
    <x v="2"/>
    <n v="348.31"/>
    <n v="34"/>
    <n v="7"/>
    <n v="2026"/>
    <n v="5"/>
    <n v="0.20588235294117699"/>
    <s v="High"/>
    <n v="10.2444117647059"/>
    <n v="49.7585714285714"/>
  </r>
  <r>
    <s v="CMP0062"/>
    <d v="2026-04-03T00:00:00"/>
    <x v="4"/>
    <x v="2"/>
    <n v="4826.55"/>
    <n v="1104"/>
    <n v="238"/>
    <n v="2026"/>
    <n v="4"/>
    <n v="0.21557971014492799"/>
    <s v="High"/>
    <n v="4.3718750000000002"/>
    <n v="20.279621848739499"/>
  </r>
  <r>
    <s v="CMP0263"/>
    <d v="2026-03-24T00:00:00"/>
    <x v="4"/>
    <x v="6"/>
    <n v="753.03"/>
    <n v="100"/>
    <n v="28"/>
    <n v="2026"/>
    <n v="3"/>
    <n v="0.28000000000000003"/>
    <s v="High"/>
    <n v="7.5303000000000004"/>
    <n v="26.893928571428599"/>
  </r>
  <r>
    <s v="CMP0019"/>
    <d v="2025-09-10T00:00:00"/>
    <x v="3"/>
    <x v="0"/>
    <n v="4334.1899999999996"/>
    <n v="584"/>
    <n v="73"/>
    <n v="2025"/>
    <n v="9"/>
    <n v="0.125"/>
    <s v="Low"/>
    <n v="7.4215582191780802"/>
    <n v="59.372465753424699"/>
  </r>
  <r>
    <s v="CMP0059"/>
    <d v="2025-10-29T00:00:00"/>
    <x v="0"/>
    <x v="5"/>
    <n v="4216.49"/>
    <n v="1050"/>
    <n v="265"/>
    <n v="2025"/>
    <n v="10"/>
    <n v="0.25238095238095198"/>
    <s v="High"/>
    <n v="4.0157047619047601"/>
    <n v="15.9112830188679"/>
  </r>
  <r>
    <s v="CMP0143"/>
    <d v="2025-05-30T00:00:00"/>
    <x v="0"/>
    <x v="0"/>
    <n v="2326.2600000000002"/>
    <n v="516"/>
    <n v="144"/>
    <n v="2025"/>
    <n v="5"/>
    <n v="0.27906976744186102"/>
    <s v="High"/>
    <n v="4.5082558139534896"/>
    <n v="16.154583333333299"/>
  </r>
  <r>
    <s v="CMP0044"/>
    <d v="2025-05-08T00:00:00"/>
    <x v="3"/>
    <x v="3"/>
    <n v="301.43"/>
    <n v="43"/>
    <n v="8"/>
    <n v="2025"/>
    <n v="5"/>
    <n v="0.186046511627907"/>
    <s v="Low"/>
    <n v="7.01"/>
    <n v="37.678750000000001"/>
  </r>
  <r>
    <s v="CMP0068"/>
    <d v="2025-02-21T00:00:00"/>
    <x v="5"/>
    <x v="1"/>
    <n v="4745.71"/>
    <n v="825"/>
    <n v="114"/>
    <n v="2025"/>
    <n v="2"/>
    <n v="0.13818181818181799"/>
    <s v="Low"/>
    <n v="5.7523757575757601"/>
    <n v="41.629035087719302"/>
  </r>
  <r>
    <s v="CMP0220"/>
    <d v="2026-02-17T00:00:00"/>
    <x v="2"/>
    <x v="0"/>
    <n v="1644.74"/>
    <n v="381"/>
    <n v="46"/>
    <n v="2026"/>
    <n v="2"/>
    <n v="0.12073490813648299"/>
    <s v="Low"/>
    <n v="4.3169028871391104"/>
    <n v="35.755217391304399"/>
  </r>
  <r>
    <s v="CMP0168"/>
    <d v="2026-06-03T00:00:00"/>
    <x v="4"/>
    <x v="3"/>
    <n v="1125.1600000000001"/>
    <n v="131"/>
    <n v="25"/>
    <n v="2026"/>
    <n v="6"/>
    <n v="0.19083969465648901"/>
    <s v="High"/>
    <n v="8.5890076335877907"/>
    <n v="45.006399999999999"/>
  </r>
  <r>
    <s v="CMP0057"/>
    <d v="2025-12-20T00:00:00"/>
    <x v="2"/>
    <x v="5"/>
    <n v="4825.67"/>
    <n v="468"/>
    <n v="73"/>
    <n v="2025"/>
    <n v="12"/>
    <n v="0.15598290598290601"/>
    <s v="Low"/>
    <n v="10.3112606837607"/>
    <n v="66.105068493150696"/>
  </r>
  <r>
    <s v="CMP0267"/>
    <d v="2026-01-15T00:00:00"/>
    <x v="2"/>
    <x v="3"/>
    <n v="3047.74"/>
    <n v="711"/>
    <n v="153"/>
    <n v="2026"/>
    <n v="1"/>
    <n v="0.215189873417722"/>
    <s v="High"/>
    <n v="4.2865541490857897"/>
    <n v="19.919869281045798"/>
  </r>
  <r>
    <s v="CMP0138"/>
    <d v="2026-01-29T00:00:00"/>
    <x v="2"/>
    <x v="3"/>
    <n v="475.03"/>
    <n v="70"/>
    <n v="12"/>
    <n v="2026"/>
    <n v="1"/>
    <n v="0.17142857142857101"/>
    <s v="Low"/>
    <n v="6.7861428571428597"/>
    <n v="39.585833333333298"/>
  </r>
  <r>
    <s v="CMP0161"/>
    <d v="2025-03-29T00:00:00"/>
    <x v="5"/>
    <x v="2"/>
    <n v="4021.93"/>
    <n v="426"/>
    <n v="37"/>
    <n v="2025"/>
    <n v="3"/>
    <n v="8.6854460093896704E-2"/>
    <s v="Low"/>
    <n v="9.4411502347417802"/>
    <n v="108.70081081081101"/>
  </r>
  <r>
    <s v="CMP0029"/>
    <d v="2026-05-06T00:00:00"/>
    <x v="0"/>
    <x v="3"/>
    <n v="1235.7"/>
    <n v="130"/>
    <n v="26"/>
    <n v="2026"/>
    <n v="5"/>
    <n v="0.2"/>
    <s v="High"/>
    <n v="9.5053846153846209"/>
    <n v="47.526923076923097"/>
  </r>
  <r>
    <s v="NEW0013"/>
    <d v="2025-12-07T00:00:00"/>
    <x v="2"/>
    <x v="5"/>
    <n v="1206.3900000000001"/>
    <n v="151"/>
    <n v="7"/>
    <n v="2025"/>
    <n v="12"/>
    <n v="4.6357615894039701E-2"/>
    <s v="Low"/>
    <n v="7.9893377483443704"/>
    <n v="172.34142857142899"/>
  </r>
  <r>
    <s v="CMP0229"/>
    <d v="2025-10-11T00:00:00"/>
    <x v="5"/>
    <x v="0"/>
    <n v="4638.09"/>
    <n v="767"/>
    <n v="84"/>
    <n v="2025"/>
    <n v="10"/>
    <n v="0.10951760104302501"/>
    <s v="Low"/>
    <n v="6.0470534550195598"/>
    <n v="55.215357142857101"/>
  </r>
  <r>
    <s v="CMP0287"/>
    <d v="2025-09-23T00:00:00"/>
    <x v="4"/>
    <x v="2"/>
    <n v="4926.28"/>
    <n v="844"/>
    <n v="73"/>
    <n v="2025"/>
    <n v="9"/>
    <n v="8.6492890995260696E-2"/>
    <s v="Low"/>
    <n v="5.8368246445497602"/>
    <n v="67.483287671232901"/>
  </r>
  <r>
    <s v="CMP0197"/>
    <d v="2025-09-08T00:00:00"/>
    <x v="3"/>
    <x v="5"/>
    <n v="2610.06"/>
    <n v="267"/>
    <n v="51"/>
    <n v="2025"/>
    <n v="9"/>
    <n v="0.19101123595505601"/>
    <s v="High"/>
    <n v="9.7755056179775295"/>
    <n v="51.177647058823503"/>
  </r>
  <r>
    <s v="CMP0274"/>
    <d v="2025-05-15T00:00:00"/>
    <x v="0"/>
    <x v="0"/>
    <n v="1819.43"/>
    <n v="361"/>
    <n v="93"/>
    <n v="2025"/>
    <n v="5"/>
    <n v="0.25761772853185599"/>
    <s v="High"/>
    <n v="5.0399722991689799"/>
    <n v="19.5637634408602"/>
  </r>
  <r>
    <s v="CMP0156"/>
    <d v="2025-12-22T00:00:00"/>
    <x v="2"/>
    <x v="5"/>
    <n v="3457.13"/>
    <n v="434"/>
    <n v="110"/>
    <n v="2025"/>
    <n v="12"/>
    <n v="0.25345622119815697"/>
    <s v="High"/>
    <n v="7.9657373271889398"/>
    <n v="31.428454545454599"/>
  </r>
  <r>
    <s v="CMP0084"/>
    <d v="2026-04-21T00:00:00"/>
    <x v="5"/>
    <x v="2"/>
    <n v="3465.97"/>
    <n v="304"/>
    <n v="35"/>
    <n v="2026"/>
    <n v="4"/>
    <n v="0.115131578947368"/>
    <s v="Low"/>
    <n v="11.4012171052632"/>
    <n v="99.027714285714296"/>
  </r>
  <r>
    <s v="CMP0002"/>
    <d v="2026-06-25T00:00:00"/>
    <x v="5"/>
    <x v="4"/>
    <n v="387.93"/>
    <n v="95"/>
    <n v="73"/>
    <n v="2026"/>
    <n v="6"/>
    <n v="0.768421052631579"/>
    <s v="High"/>
    <n v="4.0834736842105297"/>
    <n v="5.3141095890410996"/>
  </r>
  <r>
    <s v="CMP0289"/>
    <d v="2026-03-08T00:00:00"/>
    <x v="5"/>
    <x v="2"/>
    <n v="2869.4949999999999"/>
    <n v="461"/>
    <n v="32"/>
    <n v="2026"/>
    <n v="3"/>
    <n v="6.941431670282E-2"/>
    <s v="Low"/>
    <n v="6.2245010845986997"/>
    <n v="89.671718749999997"/>
  </r>
  <r>
    <s v="CMP0063"/>
    <d v="2025-10-11T00:00:00"/>
    <x v="2"/>
    <x v="2"/>
    <n v="4350.93"/>
    <n v="402"/>
    <n v="71"/>
    <n v="2025"/>
    <n v="10"/>
    <n v="0.17661691542288599"/>
    <s v="Low"/>
    <n v="10.823208955223899"/>
    <n v="61.280704225352103"/>
  </r>
  <r>
    <s v="CMP0196"/>
    <d v="2026-03-31T00:00:00"/>
    <x v="0"/>
    <x v="5"/>
    <n v="4054.96"/>
    <n v="628"/>
    <n v="132"/>
    <n v="2026"/>
    <n v="3"/>
    <n v="0.210191082802548"/>
    <s v="High"/>
    <n v="6.4569426751592403"/>
    <n v="30.7193939393939"/>
  </r>
  <r>
    <s v="CMP0292"/>
    <d v="2025-10-05T00:00:00"/>
    <x v="2"/>
    <x v="2"/>
    <n v="1073.1400000000001"/>
    <n v="245"/>
    <n v="45"/>
    <n v="2025"/>
    <n v="10"/>
    <n v="0.183673469387755"/>
    <s v="Low"/>
    <n v="4.3801632653061198"/>
    <n v="23.847555555555601"/>
  </r>
  <r>
    <s v="CMP0046"/>
    <d v="2025-07-06T00:00:00"/>
    <x v="2"/>
    <x v="1"/>
    <n v="4476.0600000000004"/>
    <n v="464"/>
    <n v="69"/>
    <n v="2025"/>
    <n v="7"/>
    <n v="0.148706896551724"/>
    <s v="Low"/>
    <n v="9.6466810344827607"/>
    <n v="64.870434782608697"/>
  </r>
  <r>
    <s v="CMP0248"/>
    <d v="2025-11-13T00:00:00"/>
    <x v="2"/>
    <x v="6"/>
    <n v="1387.4"/>
    <n v="215"/>
    <n v="24"/>
    <n v="2025"/>
    <n v="11"/>
    <n v="0.111627906976744"/>
    <s v="Low"/>
    <n v="6.4530232558139504"/>
    <n v="57.808333333333302"/>
  </r>
  <r>
    <s v="CMP0114"/>
    <d v="2026-01-30T00:00:00"/>
    <x v="5"/>
    <x v="0"/>
    <n v="4953.63"/>
    <n v="768"/>
    <n v="163"/>
    <n v="2026"/>
    <n v="1"/>
    <n v="0.21223958333333301"/>
    <s v="High"/>
    <n v="6.4500390625000001"/>
    <n v="30.390368098159499"/>
  </r>
  <r>
    <s v="NEW0014"/>
    <d v="2025-10-11T00:00:00"/>
    <x v="2"/>
    <x v="2"/>
    <n v="500.84"/>
    <n v="88"/>
    <n v="19"/>
    <n v="2025"/>
    <n v="10"/>
    <n v="0.21590909090909099"/>
    <s v="High"/>
    <n v="5.69136363636364"/>
    <n v="26.36"/>
  </r>
  <r>
    <s v="CMP0131"/>
    <d v="2025-03-28T00:00:00"/>
    <x v="2"/>
    <x v="0"/>
    <n v="2766.4"/>
    <n v="595"/>
    <n v="62"/>
    <n v="2025"/>
    <n v="3"/>
    <n v="0.104201680672269"/>
    <s v="Low"/>
    <n v="4.6494117647058797"/>
    <n v="44.619354838709697"/>
  </r>
  <r>
    <s v="CMP0177"/>
    <d v="2026-07-24T00:00:00"/>
    <x v="3"/>
    <x v="4"/>
    <n v="3691.38"/>
    <n v="458"/>
    <n v="73"/>
    <n v="2026"/>
    <n v="7"/>
    <n v="0.15938864628821001"/>
    <s v="Low"/>
    <n v="8.0597816593886495"/>
    <n v="50.566849315068502"/>
  </r>
  <r>
    <s v="CMP0111"/>
    <d v="2025-07-16T00:00:00"/>
    <x v="0"/>
    <x v="2"/>
    <n v="4771.6099999999997"/>
    <n v="587"/>
    <n v="146"/>
    <n v="2025"/>
    <n v="7"/>
    <n v="0.24872231686541699"/>
    <s v="High"/>
    <n v="8.1288074957410608"/>
    <n v="32.682260273972602"/>
  </r>
  <r>
    <s v="CMP0091"/>
    <d v="2026-03-22T00:00:00"/>
    <x v="2"/>
    <x v="0"/>
    <n v="3580.32"/>
    <n v="327"/>
    <n v="53"/>
    <n v="2026"/>
    <n v="3"/>
    <n v="0.16207951070336399"/>
    <s v="Low"/>
    <n v="10.948990825688099"/>
    <n v="67.553207547169805"/>
  </r>
  <r>
    <s v="CMP0104"/>
    <d v="2026-06-03T00:00:00"/>
    <x v="0"/>
    <x v="0"/>
    <n v="2221.84"/>
    <n v="426"/>
    <n v="108"/>
    <n v="2026"/>
    <n v="6"/>
    <n v="0.25352112676056299"/>
    <s v="High"/>
    <n v="5.2155868544600903"/>
    <n v="20.572592592592599"/>
  </r>
  <r>
    <s v="CMP0218"/>
    <d v="2026-01-29T00:00:00"/>
    <x v="2"/>
    <x v="0"/>
    <n v="3374.99"/>
    <n v="583"/>
    <n v="103"/>
    <n v="2026"/>
    <n v="1"/>
    <n v="0.176672384219554"/>
    <s v="Low"/>
    <n v="5.7890051457976002"/>
    <n v="32.766893203883498"/>
  </r>
  <r>
    <s v="CMP0122"/>
    <d v="2025-10-11T00:00:00"/>
    <x v="2"/>
    <x v="1"/>
    <n v="401.73"/>
    <n v="87"/>
    <n v="10"/>
    <n v="2025"/>
    <n v="10"/>
    <n v="0.114942528735632"/>
    <s v="Low"/>
    <n v="4.6175862068965499"/>
    <n v="40.173000000000002"/>
  </r>
  <r>
    <s v="CMP0055"/>
    <d v="2026-07-14T00:00:00"/>
    <x v="0"/>
    <x v="6"/>
    <n v="4178.66"/>
    <n v="776"/>
    <n v="206"/>
    <n v="2026"/>
    <n v="7"/>
    <n v="0.26546391752577297"/>
    <s v="High"/>
    <n v="5.3848711340206199"/>
    <n v="20.2847572815534"/>
  </r>
  <r>
    <s v="CMP0157"/>
    <d v="2025-08-07T00:00:00"/>
    <x v="4"/>
    <x v="5"/>
    <n v="3217.76"/>
    <n v="498"/>
    <n v="120"/>
    <n v="2025"/>
    <n v="8"/>
    <n v="0.240963855421687"/>
    <s v="High"/>
    <n v="6.4613654618473904"/>
    <n v="26.8146666666667"/>
  </r>
  <r>
    <s v="NEW0015"/>
    <d v="2026-05-16T00:00:00"/>
    <x v="2"/>
    <x v="0"/>
    <n v="295.8"/>
    <n v="67"/>
    <n v="7"/>
    <n v="2026"/>
    <n v="5"/>
    <n v="0.104477611940299"/>
    <s v="Low"/>
    <n v="4.4149253731343299"/>
    <n v="42.257142857142902"/>
  </r>
  <r>
    <s v="CMP0038"/>
    <d v="2025-03-22T00:00:00"/>
    <x v="2"/>
    <x v="0"/>
    <n v="2647.13"/>
    <n v="426"/>
    <n v="100"/>
    <n v="2025"/>
    <n v="3"/>
    <n v="0.23474178403755899"/>
    <s v="High"/>
    <n v="6.2139201877934296"/>
    <n v="26.471299999999999"/>
  </r>
  <r>
    <s v="CMP0025"/>
    <d v="2025-04-20T00:00:00"/>
    <x v="3"/>
    <x v="4"/>
    <n v="3810.3"/>
    <n v="623"/>
    <n v="73"/>
    <n v="2025"/>
    <n v="4"/>
    <n v="0.117174959871589"/>
    <s v="Low"/>
    <n v="6.11605136436597"/>
    <n v="52.195890410958903"/>
  </r>
  <r>
    <s v="CMP0219"/>
    <d v="2025-02-04T00:00:00"/>
    <x v="0"/>
    <x v="0"/>
    <n v="4224.63"/>
    <n v="618"/>
    <n v="118"/>
    <n v="2025"/>
    <n v="2"/>
    <n v="0.19093851132686099"/>
    <s v="High"/>
    <n v="6.83597087378641"/>
    <n v="35.801949152542399"/>
  </r>
  <r>
    <s v="CMP0012"/>
    <d v="2025-05-25T00:00:00"/>
    <x v="2"/>
    <x v="3"/>
    <n v="2109.1799999999998"/>
    <n v="251"/>
    <n v="34"/>
    <n v="2025"/>
    <n v="5"/>
    <n v="0.135458167330677"/>
    <s v="Low"/>
    <n v="8.4031075697211204"/>
    <n v="62.034705882352903"/>
  </r>
  <r>
    <s v="CMP0280"/>
    <d v="2026-03-07T00:00:00"/>
    <x v="0"/>
    <x v="1"/>
    <n v="1119.6500000000001"/>
    <n v="166"/>
    <n v="30"/>
    <n v="2026"/>
    <n v="3"/>
    <n v="0.180722891566265"/>
    <s v="Low"/>
    <n v="6.74487951807229"/>
    <n v="37.321666666666701"/>
  </r>
  <r>
    <s v="CMP0162"/>
    <d v="2025-03-10T00:00:00"/>
    <x v="2"/>
    <x v="6"/>
    <n v="1486.45"/>
    <n v="271"/>
    <n v="53"/>
    <n v="2025"/>
    <n v="3"/>
    <n v="0.19557195571955699"/>
    <s v="High"/>
    <n v="5.4850553505535098"/>
    <n v="28.046226415094299"/>
  </r>
  <r>
    <s v="CMP0222"/>
    <d v="2026-07-23T00:00:00"/>
    <x v="5"/>
    <x v="0"/>
    <n v="609.80999999999995"/>
    <n v="426"/>
    <n v="4"/>
    <n v="2026"/>
    <n v="7"/>
    <n v="9.3896713615023494E-3"/>
    <s v="Low"/>
    <n v="1.4314788732394399"/>
    <n v="152.45249999999999"/>
  </r>
  <r>
    <s v="CMP0142"/>
    <d v="2025-06-23T00:00:00"/>
    <x v="2"/>
    <x v="3"/>
    <n v="4216.83"/>
    <n v="508"/>
    <n v="70"/>
    <n v="2025"/>
    <n v="6"/>
    <n v="0.13779527559055099"/>
    <s v="Low"/>
    <n v="8.3008464566929092"/>
    <n v="60.240428571428602"/>
  </r>
  <r>
    <s v="CMP0027"/>
    <d v="2025-07-27T00:00:00"/>
    <x v="0"/>
    <x v="6"/>
    <n v="3178.53"/>
    <n v="345"/>
    <n v="73"/>
    <n v="2025"/>
    <n v="7"/>
    <n v="0.21159420289855099"/>
    <s v="High"/>
    <n v="9.2131304347826095"/>
    <n v="43.541506849315098"/>
  </r>
  <r>
    <s v="CMP0175"/>
    <d v="2025-12-12T00:00:00"/>
    <x v="0"/>
    <x v="0"/>
    <n v="4635.24"/>
    <n v="886"/>
    <n v="199"/>
    <n v="2025"/>
    <n v="12"/>
    <n v="0.22460496613995501"/>
    <s v="High"/>
    <n v="5.2316478555304702"/>
    <n v="23.2926633165829"/>
  </r>
  <r>
    <s v="CMP0149"/>
    <d v="2026-04-15T00:00:00"/>
    <x v="4"/>
    <x v="6"/>
    <n v="2436.4299999999998"/>
    <n v="554"/>
    <n v="141"/>
    <n v="2026"/>
    <n v="4"/>
    <n v="0.25451263537906099"/>
    <s v="High"/>
    <n v="4.3978880866425998"/>
    <n v="17.2796453900709"/>
  </r>
  <r>
    <s v="CMP0277"/>
    <d v="2025-03-04T00:00:00"/>
    <x v="2"/>
    <x v="5"/>
    <n v="3342.91"/>
    <n v="599"/>
    <n v="124"/>
    <n v="2025"/>
    <n v="3"/>
    <n v="0.20701168614357299"/>
    <s v="High"/>
    <n v="5.5808180300500796"/>
    <n v="26.958951612903199"/>
  </r>
  <r>
    <s v="CMP0006"/>
    <d v="2025-12-16T00:00:00"/>
    <x v="2"/>
    <x v="0"/>
    <n v="2877.39"/>
    <n v="463"/>
    <n v="73"/>
    <n v="2025"/>
    <n v="12"/>
    <n v="0.15766738660907101"/>
    <s v="Low"/>
    <n v="6.2146652267818601"/>
    <n v="39.416301369863"/>
  </r>
  <r>
    <s v="CMP0226"/>
    <d v="2025-03-11T00:00:00"/>
    <x v="5"/>
    <x v="6"/>
    <n v="3509.09"/>
    <n v="714"/>
    <n v="42"/>
    <n v="2025"/>
    <n v="3"/>
    <n v="5.8823529411764698E-2"/>
    <s v="Low"/>
    <n v="4.9146918767507"/>
    <n v="83.549761904761894"/>
  </r>
  <r>
    <s v="CMP0209"/>
    <d v="2026-07-12T00:00:00"/>
    <x v="4"/>
    <x v="2"/>
    <n v="3794.91"/>
    <n v="442"/>
    <n v="77"/>
    <n v="2026"/>
    <n v="7"/>
    <n v="0.17420814479638"/>
    <s v="Low"/>
    <n v="8.5857692307692304"/>
    <n v="49.284545454545501"/>
  </r>
  <r>
    <s v="CMP0037"/>
    <d v="2025-08-18T00:00:00"/>
    <x v="3"/>
    <x v="3"/>
    <n v="4177.41"/>
    <n v="427"/>
    <n v="69"/>
    <n v="2025"/>
    <n v="8"/>
    <n v="0.16159250585480101"/>
    <s v="Low"/>
    <n v="9.7831615925058504"/>
    <n v="60.5421739130434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MP0268"/>
    <d v="2026-02-24T00:00:00"/>
    <s v="Search"/>
    <x v="0"/>
    <n v="1902.8"/>
    <n v="258"/>
    <n v="58"/>
    <n v="2026"/>
    <x v="0"/>
    <n v="0.224806201550388"/>
    <s v="High"/>
    <n v="7.3751937984496099"/>
    <n v="32.806896551724101"/>
  </r>
  <r>
    <s v="CMP0077"/>
    <d v="2026-06-13T00:00:00"/>
    <s v="Unknown"/>
    <x v="0"/>
    <n v="2408.15"/>
    <n v="408"/>
    <n v="89"/>
    <n v="2026"/>
    <x v="1"/>
    <n v="0.21813725490196101"/>
    <s v="High"/>
    <n v="5.9023284313725499"/>
    <n v="27.057865168539301"/>
  </r>
  <r>
    <s v="CMP0207"/>
    <d v="2026-05-11T00:00:00"/>
    <s v="Unknown"/>
    <x v="1"/>
    <n v="2635.33"/>
    <n v="573"/>
    <n v="100"/>
    <n v="2026"/>
    <x v="2"/>
    <n v="0.17452006980802801"/>
    <s v="Low"/>
    <n v="4.5991797556718996"/>
    <n v="26.353300000000001"/>
  </r>
  <r>
    <s v="NEW0001"/>
    <d v="2025-12-14T00:00:00"/>
    <s v="Social Media"/>
    <x v="1"/>
    <n v="3036.06"/>
    <n v="350"/>
    <n v="61"/>
    <n v="2025"/>
    <x v="3"/>
    <n v="0.17428571428571399"/>
    <s v="Low"/>
    <n v="8.6744571428571398"/>
    <n v="49.7714754098361"/>
  </r>
  <r>
    <s v="CMP0089"/>
    <d v="2025-03-16T00:00:00"/>
    <s v="Social Media"/>
    <x v="2"/>
    <n v="4857.8900000000003"/>
    <n v="742"/>
    <n v="131"/>
    <n v="2025"/>
    <x v="4"/>
    <n v="0.17654986522911101"/>
    <s v="Low"/>
    <n v="6.5470215633423203"/>
    <n v="37.0831297709924"/>
  </r>
  <r>
    <s v="CMP0098"/>
    <d v="2025-04-25T00:00:00"/>
    <s v="Influencer"/>
    <x v="3"/>
    <n v="2904.04"/>
    <n v="2013"/>
    <n v="81"/>
    <n v="2025"/>
    <x v="5"/>
    <n v="4.0238450074515701E-2"/>
    <s v="Low"/>
    <n v="1.44264282165922"/>
    <n v="35.852345679012302"/>
  </r>
  <r>
    <s v="CMP0206"/>
    <d v="2026-06-12T00:00:00"/>
    <s v="Search"/>
    <x v="4"/>
    <n v="518.97"/>
    <n v="101"/>
    <n v="20"/>
    <n v="2026"/>
    <x v="1"/>
    <n v="0.198019801980198"/>
    <s v="High"/>
    <n v="5.13831683168317"/>
    <n v="25.948499999999999"/>
  </r>
  <r>
    <s v="CMP0094"/>
    <d v="2026-05-04T00:00:00"/>
    <s v="Influencer"/>
    <x v="2"/>
    <n v="3151.53"/>
    <n v="510"/>
    <n v="74"/>
    <n v="2026"/>
    <x v="2"/>
    <n v="0.14509803921568601"/>
    <s v="Low"/>
    <n v="6.1794705882352901"/>
    <n v="42.588243243243298"/>
  </r>
  <r>
    <s v="CMP0270"/>
    <d v="2026-03-12T00:00:00"/>
    <s v="Email"/>
    <x v="1"/>
    <n v="2558.6"/>
    <n v="542"/>
    <n v="109"/>
    <n v="2026"/>
    <x v="4"/>
    <n v="0.201107011070111"/>
    <s v="High"/>
    <n v="4.7206642066420699"/>
    <n v="23.473394495412801"/>
  </r>
  <r>
    <s v="CMP0132"/>
    <d v="2025-08-17T00:00:00"/>
    <s v="Search"/>
    <x v="4"/>
    <n v="2993.64"/>
    <n v="602"/>
    <n v="170"/>
    <n v="2025"/>
    <x v="6"/>
    <n v="0.282392026578073"/>
    <s v="High"/>
    <n v="4.97282392026578"/>
    <n v="17.609647058823501"/>
  </r>
  <r>
    <s v="CMP0169"/>
    <d v="2025-04-10T00:00:00"/>
    <s v="Social Media"/>
    <x v="2"/>
    <n v="3988.62"/>
    <n v="656"/>
    <n v="121"/>
    <n v="2025"/>
    <x v="5"/>
    <n v="0.18445121951219501"/>
    <s v="Low"/>
    <n v="6.0802134146341498"/>
    <n v="32.963801652892599"/>
  </r>
  <r>
    <s v="CMP0082"/>
    <d v="2025-08-19T00:00:00"/>
    <s v="Search"/>
    <x v="3"/>
    <n v="4275.45"/>
    <n v="604"/>
    <n v="169"/>
    <n v="2025"/>
    <x v="6"/>
    <n v="0.27980132450331102"/>
    <s v="High"/>
    <n v="7.0785596026490101"/>
    <n v="25.298520710059201"/>
  </r>
  <r>
    <s v="CMP0179"/>
    <d v="2026-05-02T00:00:00"/>
    <s v="Search"/>
    <x v="4"/>
    <n v="2086.02"/>
    <n v="273"/>
    <n v="88"/>
    <n v="2026"/>
    <x v="2"/>
    <n v="0.32234432234432198"/>
    <s v="High"/>
    <n v="7.6410989010988999"/>
    <n v="23.704772727272701"/>
  </r>
  <r>
    <s v="CMP0083"/>
    <d v="2026-03-19T00:00:00"/>
    <s v="Search"/>
    <x v="4"/>
    <n v="2263.59"/>
    <n v="309"/>
    <n v="69"/>
    <n v="2026"/>
    <x v="4"/>
    <n v="0.223300970873786"/>
    <s v="High"/>
    <n v="7.3255339805825299"/>
    <n v="32.805652173913103"/>
  </r>
  <r>
    <s v="CMP0141"/>
    <d v="2025-08-19T00:00:00"/>
    <s v="Search"/>
    <x v="4"/>
    <n v="2431.87"/>
    <n v="576"/>
    <n v="181"/>
    <n v="2025"/>
    <x v="6"/>
    <n v="0.31423611111111099"/>
    <s v="High"/>
    <n v="4.2219965277777796"/>
    <n v="13.4357458563536"/>
  </r>
  <r>
    <s v="CMP0005"/>
    <d v="2025-01-24T00:00:00"/>
    <s v="Search"/>
    <x v="0"/>
    <n v="2869.4949999999999"/>
    <n v="433"/>
    <n v="113"/>
    <n v="2025"/>
    <x v="7"/>
    <n v="0.26096997690531198"/>
    <s v="High"/>
    <n v="6.6270092378752903"/>
    <n v="25.393761061946901"/>
  </r>
  <r>
    <s v="CMP0212"/>
    <d v="2025-09-03T00:00:00"/>
    <s v="Unknown"/>
    <x v="0"/>
    <n v="3520.5"/>
    <n v="659"/>
    <n v="130"/>
    <n v="2025"/>
    <x v="8"/>
    <n v="0.19726858877086501"/>
    <s v="High"/>
    <n v="5.34218512898331"/>
    <n v="27.080769230769199"/>
  </r>
  <r>
    <s v="CMP0049"/>
    <d v="2026-05-11T00:00:00"/>
    <s v="Unknown"/>
    <x v="5"/>
    <n v="4913.8"/>
    <n v="799"/>
    <n v="60"/>
    <n v="2026"/>
    <x v="2"/>
    <n v="7.5093867334167702E-2"/>
    <s v="Low"/>
    <n v="6.1499374217772198"/>
    <n v="81.896666666666704"/>
  </r>
  <r>
    <s v="CMP0281"/>
    <d v="2025-07-22T00:00:00"/>
    <s v="Email"/>
    <x v="3"/>
    <n v="3753.98"/>
    <n v="334"/>
    <n v="55"/>
    <n v="2025"/>
    <x v="9"/>
    <n v="0.164670658682635"/>
    <s v="Low"/>
    <n v="11.2394610778443"/>
    <n v="68.254181818181806"/>
  </r>
  <r>
    <s v="CMP0061"/>
    <d v="2025-10-25T00:00:00"/>
    <s v="Search"/>
    <x v="0"/>
    <n v="457.9"/>
    <n v="42"/>
    <n v="10"/>
    <n v="2025"/>
    <x v="10"/>
    <n v="0.238095238095238"/>
    <s v="High"/>
    <n v="10.902380952381"/>
    <n v="45.79"/>
  </r>
  <r>
    <s v="CMP0125"/>
    <d v="2026-07-25T00:00:00"/>
    <s v="Search"/>
    <x v="2"/>
    <n v="4532.21"/>
    <n v="843"/>
    <n v="163"/>
    <n v="2026"/>
    <x v="9"/>
    <n v="0.193357058125741"/>
    <s v="High"/>
    <n v="5.3762870699881402"/>
    <n v="27.804969325153401"/>
  </r>
  <r>
    <s v="CMP0266"/>
    <d v="2025-06-03T00:00:00"/>
    <s v="Social Media"/>
    <x v="2"/>
    <n v="4633.21"/>
    <n v="426"/>
    <n v="92"/>
    <n v="2025"/>
    <x v="1"/>
    <n v="0.215962441314554"/>
    <s v="High"/>
    <n v="10.8760798122066"/>
    <n v="50.360978260869601"/>
  </r>
  <r>
    <s v="CMP0050"/>
    <d v="2026-05-26T00:00:00"/>
    <s v="Social Media"/>
    <x v="0"/>
    <n v="2503.33"/>
    <n v="297"/>
    <n v="53"/>
    <n v="2026"/>
    <x v="2"/>
    <n v="0.178451178451178"/>
    <s v="Low"/>
    <n v="8.4287205387205404"/>
    <n v="47.232641509434004"/>
  </r>
  <r>
    <s v="CMP0275"/>
    <d v="2025-10-11T00:00:00"/>
    <s v="Influencer"/>
    <x v="0"/>
    <n v="2370.21"/>
    <n v="553"/>
    <n v="120"/>
    <n v="2025"/>
    <x v="10"/>
    <n v="0.21699819168173601"/>
    <s v="High"/>
    <n v="4.2860940325497303"/>
    <n v="19.751750000000001"/>
  </r>
  <r>
    <s v="CMP0160"/>
    <d v="2025-06-26T00:00:00"/>
    <s v="Email"/>
    <x v="6"/>
    <n v="4663.53"/>
    <n v="641"/>
    <n v="109"/>
    <n v="2025"/>
    <x v="1"/>
    <n v="0.17004680187207499"/>
    <s v="Low"/>
    <n v="7.2753978159126396"/>
    <n v="42.7846788990826"/>
  </r>
  <r>
    <s v="CMP0239"/>
    <d v="2025-12-14T00:00:00"/>
    <s v="Influencer"/>
    <x v="0"/>
    <n v="658.72"/>
    <n v="52"/>
    <n v="8"/>
    <n v="2025"/>
    <x v="3"/>
    <n v="0.15384615384615399"/>
    <s v="Low"/>
    <n v="12.667692307692301"/>
    <n v="82.34"/>
  </r>
  <r>
    <s v="CMP0119"/>
    <d v="2026-02-03T00:00:00"/>
    <s v="Influencer"/>
    <x v="0"/>
    <n v="2413.8000000000002"/>
    <n v="574"/>
    <n v="95"/>
    <n v="2026"/>
    <x v="0"/>
    <n v="0.16550522648083599"/>
    <s v="Low"/>
    <n v="4.2052264808362398"/>
    <n v="25.408421052631599"/>
  </r>
  <r>
    <s v="CMP0232"/>
    <d v="2025-04-24T00:00:00"/>
    <s v="Social Media"/>
    <x v="5"/>
    <n v="1496.59"/>
    <n v="223"/>
    <n v="36"/>
    <n v="2025"/>
    <x v="5"/>
    <n v="0.161434977578475"/>
    <s v="Low"/>
    <n v="6.7111659192825099"/>
    <n v="41.571944444444398"/>
  </r>
  <r>
    <s v="CMP0262"/>
    <d v="2026-01-28T00:00:00"/>
    <s v="Influencer"/>
    <x v="3"/>
    <n v="3057.48"/>
    <n v="503"/>
    <n v="73"/>
    <n v="2026"/>
    <x v="7"/>
    <n v="0.145129224652088"/>
    <s v="Low"/>
    <n v="6.0784890656063597"/>
    <n v="41.8832876712329"/>
  </r>
  <r>
    <s v="CMP0291"/>
    <d v="2025-01-05T00:00:00"/>
    <s v="Search"/>
    <x v="6"/>
    <n v="2869.4949999999999"/>
    <n v="118"/>
    <n v="25"/>
    <n v="2025"/>
    <x v="7"/>
    <n v="0.21186440677966101"/>
    <s v="High"/>
    <n v="24.317754237288099"/>
    <n v="114.77979999999999"/>
  </r>
  <r>
    <s v="CMP0152"/>
    <d v="2025-10-11T00:00:00"/>
    <s v="Social Media"/>
    <x v="0"/>
    <n v="4668.7299999999996"/>
    <n v="537"/>
    <n v="48"/>
    <n v="2025"/>
    <x v="10"/>
    <n v="8.9385474860335198E-2"/>
    <s v="Low"/>
    <n v="8.69409683426443"/>
    <n v="97.265208333333305"/>
  </r>
  <r>
    <s v="CMP0090"/>
    <d v="2025-05-23T00:00:00"/>
    <s v="Influencer"/>
    <x v="2"/>
    <n v="994.02"/>
    <n v="426"/>
    <n v="33"/>
    <n v="2025"/>
    <x v="2"/>
    <n v="7.7464788732394402E-2"/>
    <s v="Low"/>
    <n v="2.3333802816901401"/>
    <n v="30.121818181818199"/>
  </r>
  <r>
    <s v="CMP0271"/>
    <d v="2025-11-27T00:00:00"/>
    <s v="Search"/>
    <x v="4"/>
    <n v="4865.12"/>
    <n v="463"/>
    <n v="137"/>
    <n v="2025"/>
    <x v="11"/>
    <n v="0.29589632829373702"/>
    <s v="High"/>
    <n v="10.507818574513999"/>
    <n v="35.511824817518303"/>
  </r>
  <r>
    <s v="CMP0227"/>
    <d v="2026-04-19T00:00:00"/>
    <s v="Email"/>
    <x v="0"/>
    <n v="2693.81"/>
    <n v="533"/>
    <n v="83"/>
    <n v="2026"/>
    <x v="5"/>
    <n v="0.155722326454034"/>
    <s v="Low"/>
    <n v="5.0540525328330199"/>
    <n v="32.455542168674697"/>
  </r>
  <r>
    <s v="CMP0238"/>
    <d v="2025-01-21T00:00:00"/>
    <s v="Social Media"/>
    <x v="2"/>
    <n v="2861.6"/>
    <n v="388"/>
    <n v="63"/>
    <n v="2025"/>
    <x v="7"/>
    <n v="0.16237113402061901"/>
    <s v="Low"/>
    <n v="7.3752577319587598"/>
    <n v="45.422222222222203"/>
  </r>
  <r>
    <s v="CMP0107"/>
    <d v="2025-07-23T00:00:00"/>
    <s v="Search"/>
    <x v="4"/>
    <n v="480.1"/>
    <n v="76"/>
    <n v="16"/>
    <n v="2025"/>
    <x v="9"/>
    <n v="0.21052631578947401"/>
    <s v="High"/>
    <n v="6.3171052631578997"/>
    <n v="30.006250000000001"/>
  </r>
  <r>
    <s v="CMP0023"/>
    <d v="2025-05-18T00:00:00"/>
    <s v="Search"/>
    <x v="5"/>
    <n v="3712.61"/>
    <n v="420"/>
    <n v="73"/>
    <n v="2025"/>
    <x v="2"/>
    <n v="0.173809523809524"/>
    <s v="Low"/>
    <n v="8.8395476190476199"/>
    <n v="50.857671232876697"/>
  </r>
  <r>
    <s v="CMP0195"/>
    <d v="2026-05-13T00:00:00"/>
    <s v="Influencer"/>
    <x v="1"/>
    <n v="1258.1600000000001"/>
    <n v="155"/>
    <n v="32"/>
    <n v="2026"/>
    <x v="2"/>
    <n v="0.206451612903226"/>
    <s v="High"/>
    <n v="8.1171612903225796"/>
    <n v="39.317500000000003"/>
  </r>
  <r>
    <s v="CMP0042"/>
    <d v="2025-12-30T00:00:00"/>
    <s v="Email"/>
    <x v="6"/>
    <n v="2823.43"/>
    <n v="539"/>
    <n v="122"/>
    <n v="2025"/>
    <x v="3"/>
    <n v="0.226345083487941"/>
    <s v="High"/>
    <n v="5.2382745825603001"/>
    <n v="23.142868852458999"/>
  </r>
  <r>
    <s v="CMP0182"/>
    <d v="2025-09-09T00:00:00"/>
    <s v="Email"/>
    <x v="5"/>
    <n v="4168.08"/>
    <n v="815"/>
    <n v="206"/>
    <n v="2025"/>
    <x v="8"/>
    <n v="0.252760736196319"/>
    <s v="High"/>
    <n v="5.1142085889570597"/>
    <n v="20.233398058252401"/>
  </r>
  <r>
    <s v="CMP0164"/>
    <d v="2025-01-17T00:00:00"/>
    <s v="Search"/>
    <x v="6"/>
    <n v="1273.23"/>
    <n v="305"/>
    <n v="53"/>
    <n v="2025"/>
    <x v="7"/>
    <n v="0.173770491803279"/>
    <s v="Low"/>
    <n v="4.1745245901639398"/>
    <n v="24.0232075471698"/>
  </r>
  <r>
    <s v="CMP0041"/>
    <d v="2025-08-21T00:00:00"/>
    <s v="Search"/>
    <x v="6"/>
    <n v="1245.83"/>
    <n v="178"/>
    <n v="60"/>
    <n v="2025"/>
    <x v="6"/>
    <n v="0.33707865168539303"/>
    <s v="High"/>
    <n v="6.9990449438202198"/>
    <n v="20.763833333333299"/>
  </r>
  <r>
    <s v="CMP0121"/>
    <d v="2025-07-19T00:00:00"/>
    <s v="Unknown"/>
    <x v="0"/>
    <n v="4901.34"/>
    <n v="892"/>
    <n v="171"/>
    <n v="2025"/>
    <x v="9"/>
    <n v="0.19170403587443999"/>
    <s v="High"/>
    <n v="5.4947757847533598"/>
    <n v="28.662807017543901"/>
  </r>
  <r>
    <s v="CMP0033"/>
    <d v="2025-07-29T00:00:00"/>
    <s v="Social Media"/>
    <x v="0"/>
    <n v="4346.26"/>
    <n v="479"/>
    <n v="73"/>
    <n v="2025"/>
    <x v="9"/>
    <n v="0.15240083507306901"/>
    <s v="Low"/>
    <n v="9.07361169102297"/>
    <n v="59.537808219178103"/>
  </r>
  <r>
    <s v="CMP0003"/>
    <d v="2026-01-14T00:00:00"/>
    <s v="Social Media"/>
    <x v="0"/>
    <n v="4817.75"/>
    <n v="1049"/>
    <n v="181"/>
    <n v="2026"/>
    <x v="7"/>
    <n v="0.17254528122021001"/>
    <s v="Low"/>
    <n v="4.5927073403241199"/>
    <n v="26.617403314917102"/>
  </r>
  <r>
    <s v="NEW0002"/>
    <d v="2025-12-12T00:00:00"/>
    <s v="Email"/>
    <x v="1"/>
    <n v="851.41"/>
    <n v="164"/>
    <n v="35"/>
    <n v="2025"/>
    <x v="3"/>
    <n v="0.21341463414634201"/>
    <s v="High"/>
    <n v="5.1915243902438997"/>
    <n v="24.326000000000001"/>
  </r>
  <r>
    <s v="CMP0254"/>
    <d v="2025-04-22T00:00:00"/>
    <s v="Email"/>
    <x v="0"/>
    <n v="1739.97"/>
    <n v="404"/>
    <n v="63"/>
    <n v="2025"/>
    <x v="5"/>
    <n v="0.155940594059406"/>
    <s v="Low"/>
    <n v="4.3068564356435699"/>
    <n v="27.6185714285714"/>
  </r>
  <r>
    <s v="CMP0095"/>
    <d v="2026-01-28T00:00:00"/>
    <s v="Social Media"/>
    <x v="5"/>
    <n v="4965.01"/>
    <n v="1009"/>
    <n v="151"/>
    <n v="2026"/>
    <x v="7"/>
    <n v="0.149653121902874"/>
    <s v="Low"/>
    <n v="4.9207234886025804"/>
    <n v="32.880860927152298"/>
  </r>
  <r>
    <s v="CMP0011"/>
    <d v="2026-03-16T00:00:00"/>
    <s v="Email"/>
    <x v="1"/>
    <n v="2058.15"/>
    <n v="416"/>
    <n v="83"/>
    <n v="2026"/>
    <x v="4"/>
    <n v="0.199519230769231"/>
    <s v="High"/>
    <n v="4.9474759615384603"/>
    <n v="24.7969879518072"/>
  </r>
  <r>
    <s v="NEW0003"/>
    <d v="2026-03-04T00:00:00"/>
    <s v="Search"/>
    <x v="5"/>
    <n v="1936.71"/>
    <n v="333"/>
    <n v="59"/>
    <n v="2026"/>
    <x v="4"/>
    <n v="0.17717717717717699"/>
    <s v="Low"/>
    <n v="5.8159459459459502"/>
    <n v="32.825593220339002"/>
  </r>
  <r>
    <s v="CMP0228"/>
    <d v="2025-08-08T00:00:00"/>
    <s v="Social Media"/>
    <x v="4"/>
    <n v="1757.72"/>
    <n v="287"/>
    <n v="34"/>
    <n v="2025"/>
    <x v="6"/>
    <n v="0.118466898954704"/>
    <s v="Low"/>
    <n v="6.1244599303135896"/>
    <n v="51.697647058823499"/>
  </r>
  <r>
    <s v="CMP0198"/>
    <d v="2025-10-08T00:00:00"/>
    <s v="Social Media"/>
    <x v="0"/>
    <n v="2412.9699999999998"/>
    <n v="271"/>
    <n v="26"/>
    <n v="2025"/>
    <x v="10"/>
    <n v="9.5940959409594101E-2"/>
    <s v="Low"/>
    <n v="8.9039483394833905"/>
    <n v="92.806538461538494"/>
  </r>
  <r>
    <s v="CMP0231"/>
    <d v="2026-05-11T00:00:00"/>
    <s v="Influencer"/>
    <x v="0"/>
    <n v="2457.4899999999998"/>
    <n v="238"/>
    <n v="42"/>
    <n v="2026"/>
    <x v="2"/>
    <n v="0.17647058823529399"/>
    <s v="Low"/>
    <n v="10.3255882352941"/>
    <n v="58.511666666666699"/>
  </r>
  <r>
    <s v="CMP0100"/>
    <d v="2025-10-11T00:00:00"/>
    <s v="Email"/>
    <x v="6"/>
    <n v="1910.65"/>
    <n v="351"/>
    <n v="62"/>
    <n v="2025"/>
    <x v="10"/>
    <n v="0.17663817663817699"/>
    <s v="Low"/>
    <n v="5.4434472934472904"/>
    <n v="30.816935483870999"/>
  </r>
  <r>
    <s v="CMP0110"/>
    <d v="2025-08-05T00:00:00"/>
    <s v="Social Media"/>
    <x v="1"/>
    <n v="3357.04"/>
    <n v="426"/>
    <n v="152"/>
    <n v="2025"/>
    <x v="6"/>
    <n v="0.35680751173708902"/>
    <s v="High"/>
    <n v="7.88037558685446"/>
    <n v="22.085789473684201"/>
  </r>
  <r>
    <s v="CMP0115"/>
    <d v="2025-06-10T00:00:00"/>
    <s v="Search"/>
    <x v="6"/>
    <n v="3832.39"/>
    <n v="350"/>
    <n v="100"/>
    <n v="2025"/>
    <x v="1"/>
    <n v="0.28571428571428598"/>
    <s v="High"/>
    <n v="10.9496857142857"/>
    <n v="38.323900000000002"/>
  </r>
  <r>
    <s v="CMP0288"/>
    <d v="2025-07-12T00:00:00"/>
    <s v="Radio"/>
    <x v="1"/>
    <n v="3023.16"/>
    <n v="749"/>
    <n v="40"/>
    <n v="2025"/>
    <x v="9"/>
    <n v="5.3404539385847799E-2"/>
    <s v="Low"/>
    <n v="4.0362616822429898"/>
    <n v="75.578999999999994"/>
  </r>
  <r>
    <s v="CMP0066"/>
    <d v="2026-06-03T00:00:00"/>
    <s v="Social Media"/>
    <x v="2"/>
    <n v="2869.4949999999999"/>
    <n v="334"/>
    <n v="61"/>
    <n v="2026"/>
    <x v="1"/>
    <n v="0.18263473053892201"/>
    <s v="Low"/>
    <n v="8.5913023952095795"/>
    <n v="47.040901639344298"/>
  </r>
  <r>
    <s v="CMP0264"/>
    <d v="2026-05-13T00:00:00"/>
    <s v="Influencer"/>
    <x v="5"/>
    <n v="3245.87"/>
    <n v="388"/>
    <n v="68"/>
    <n v="2026"/>
    <x v="2"/>
    <n v="0.17525773195876301"/>
    <s v="Low"/>
    <n v="8.3656443298969094"/>
    <n v="47.733382352941199"/>
  </r>
  <r>
    <s v="CMP0187"/>
    <d v="2026-07-16T00:00:00"/>
    <s v="Search"/>
    <x v="5"/>
    <n v="595.54"/>
    <n v="107"/>
    <n v="17"/>
    <n v="2026"/>
    <x v="9"/>
    <n v="0.15887850467289699"/>
    <s v="Low"/>
    <n v="5.5657943925233599"/>
    <n v="35.031764705882402"/>
  </r>
  <r>
    <s v="CMP0047"/>
    <d v="2025-10-11T00:00:00"/>
    <s v="Search"/>
    <x v="2"/>
    <n v="4768.82"/>
    <n v="674"/>
    <n v="177"/>
    <n v="2025"/>
    <x v="10"/>
    <n v="0.26261127596439199"/>
    <s v="High"/>
    <n v="7.0754005934718096"/>
    <n v="26.9424858757062"/>
  </r>
  <r>
    <s v="CMP0088"/>
    <d v="2025-04-01T00:00:00"/>
    <s v="Email"/>
    <x v="2"/>
    <n v="2339.96"/>
    <n v="426"/>
    <n v="74"/>
    <n v="2025"/>
    <x v="5"/>
    <n v="0.17370892018779299"/>
    <s v="Low"/>
    <n v="5.4928638497652598"/>
    <n v="31.621081081081101"/>
  </r>
  <r>
    <s v="CMP0051"/>
    <d v="2025-09-06T00:00:00"/>
    <s v="Social Media"/>
    <x v="6"/>
    <n v="3682.58"/>
    <n v="426"/>
    <n v="96"/>
    <n v="2025"/>
    <x v="8"/>
    <n v="0.22535211267605601"/>
    <s v="High"/>
    <n v="8.6445539906103299"/>
    <n v="38.360208333333297"/>
  </r>
  <r>
    <s v="CMP0092"/>
    <d v="2025-01-18T00:00:00"/>
    <s v="Social Media"/>
    <x v="2"/>
    <n v="2407.33"/>
    <n v="422"/>
    <n v="86"/>
    <n v="2025"/>
    <x v="7"/>
    <n v="0.20379146919431301"/>
    <s v="High"/>
    <n v="5.7045734597156397"/>
    <n v="27.992209302325598"/>
  </r>
  <r>
    <s v="CMP0259"/>
    <d v="2025-06-09T00:00:00"/>
    <s v="Social Media"/>
    <x v="5"/>
    <n v="3733.62"/>
    <n v="520"/>
    <n v="-4"/>
    <n v="2025"/>
    <x v="1"/>
    <n v="-7.6923076923076901E-3"/>
    <s v="Low"/>
    <n v="7.1800384615384596"/>
    <n v="0"/>
  </r>
  <r>
    <s v="CMP0008"/>
    <d v="2025-03-29T00:00:00"/>
    <s v="Search"/>
    <x v="0"/>
    <n v="461.86"/>
    <n v="57"/>
    <n v="13"/>
    <n v="2025"/>
    <x v="4"/>
    <n v="0.22807017543859701"/>
    <s v="High"/>
    <n v="8.10280701754386"/>
    <n v="35.527692307692298"/>
  </r>
  <r>
    <s v="CMP0087"/>
    <d v="2025-12-12T00:00:00"/>
    <s v="Search"/>
    <x v="0"/>
    <n v="3032.49"/>
    <n v="397"/>
    <n v="98"/>
    <n v="2025"/>
    <x v="3"/>
    <n v="0.246851385390428"/>
    <s v="High"/>
    <n v="7.6385138539042803"/>
    <n v="30.943775510204102"/>
  </r>
  <r>
    <s v="CMP0058"/>
    <d v="2025-03-12T00:00:00"/>
    <s v="Radio"/>
    <x v="1"/>
    <n v="1656.74"/>
    <n v="182"/>
    <n v="12"/>
    <n v="2025"/>
    <x v="4"/>
    <n v="6.5934065934065894E-2"/>
    <s v="Low"/>
    <n v="9.1029670329670296"/>
    <n v="138.06166666666701"/>
  </r>
  <r>
    <s v="CMP0073"/>
    <d v="2025-12-26T00:00:00"/>
    <s v="Email"/>
    <x v="2"/>
    <n v="2655.84"/>
    <n v="282"/>
    <n v="45"/>
    <n v="2025"/>
    <x v="3"/>
    <n v="0.159574468085106"/>
    <s v="Low"/>
    <n v="9.4178723404255305"/>
    <n v="59.018666666666697"/>
  </r>
  <r>
    <s v="CMP0269"/>
    <d v="2025-06-30T00:00:00"/>
    <s v="Email"/>
    <x v="1"/>
    <n v="2067.63"/>
    <n v="379"/>
    <n v="91"/>
    <n v="2025"/>
    <x v="1"/>
    <n v="0.24010554089709801"/>
    <s v="High"/>
    <n v="5.4554881266490796"/>
    <n v="22.721208791208799"/>
  </r>
  <r>
    <s v="NEW0004"/>
    <d v="2025-08-25T00:00:00"/>
    <s v="Email"/>
    <x v="5"/>
    <n v="2644.89"/>
    <n v="432"/>
    <n v="79"/>
    <n v="2025"/>
    <x v="6"/>
    <n v="0.18287037037036999"/>
    <s v="Low"/>
    <n v="6.1224305555555603"/>
    <n v="33.479620253164597"/>
  </r>
  <r>
    <s v="CMP0134"/>
    <d v="2025-05-12T00:00:00"/>
    <s v="Social Media"/>
    <x v="2"/>
    <n v="3026.05"/>
    <n v="589"/>
    <n v="88"/>
    <n v="2025"/>
    <x v="2"/>
    <n v="0.14940577249575601"/>
    <s v="Low"/>
    <n v="5.1376061120543302"/>
    <n v="34.3869318181818"/>
  </r>
  <r>
    <s v="CMP0032"/>
    <d v="2026-04-03T00:00:00"/>
    <s v="Search"/>
    <x v="0"/>
    <n v="2869.4949999999999"/>
    <n v="471"/>
    <n v="112"/>
    <n v="2026"/>
    <x v="5"/>
    <n v="0.23779193205944801"/>
    <s v="High"/>
    <n v="6.0923460721868397"/>
    <n v="25.620491071428599"/>
  </r>
  <r>
    <s v="CMP0199"/>
    <d v="2025-08-09T00:00:00"/>
    <s v="Radio"/>
    <x v="3"/>
    <n v="10024"/>
    <n v="220"/>
    <n v="32"/>
    <n v="2025"/>
    <x v="6"/>
    <n v="0.145454545454545"/>
    <s v="Low"/>
    <n v="45.563636363636398"/>
    <n v="313.25"/>
  </r>
  <r>
    <s v="CMP0017"/>
    <d v="2025-10-11T00:00:00"/>
    <s v="Influencer"/>
    <x v="0"/>
    <n v="4719.42"/>
    <n v="1169"/>
    <n v="210"/>
    <n v="2025"/>
    <x v="10"/>
    <n v="0.179640718562874"/>
    <s v="Low"/>
    <n v="4.03714285714286"/>
    <n v="22.473428571428599"/>
  </r>
  <r>
    <s v="CMP0144"/>
    <d v="2025-02-27T00:00:00"/>
    <s v="Email"/>
    <x v="5"/>
    <n v="4203.28"/>
    <n v="361"/>
    <n v="72"/>
    <n v="2025"/>
    <x v="0"/>
    <n v="0.19944598337950101"/>
    <s v="High"/>
    <n v="11.643434903047099"/>
    <n v="58.378888888888902"/>
  </r>
  <r>
    <s v="CMP0018"/>
    <d v="2026-06-27T00:00:00"/>
    <s v="Search"/>
    <x v="5"/>
    <n v="464.54"/>
    <n v="76"/>
    <n v="20"/>
    <n v="2026"/>
    <x v="1"/>
    <n v="0.26315789473684198"/>
    <s v="High"/>
    <n v="6.1123684210526301"/>
    <n v="23.227"/>
  </r>
  <r>
    <s v="CMP0043"/>
    <d v="2026-03-22T00:00:00"/>
    <s v="Email"/>
    <x v="0"/>
    <n v="2869.4949999999999"/>
    <n v="372"/>
    <n v="78"/>
    <n v="2026"/>
    <x v="4"/>
    <n v="0.209677419354839"/>
    <s v="High"/>
    <n v="7.7136962365591399"/>
    <n v="36.788397435897402"/>
  </r>
  <r>
    <s v="CMP0257"/>
    <d v="2025-12-15T00:00:00"/>
    <s v="Unknown"/>
    <x v="0"/>
    <n v="2374.5100000000002"/>
    <n v="537"/>
    <n v="112"/>
    <n v="2025"/>
    <x v="3"/>
    <n v="0.20856610800744901"/>
    <s v="High"/>
    <n v="4.4218063314711404"/>
    <n v="21.2009821428572"/>
  </r>
  <r>
    <s v="CMP0217"/>
    <d v="2025-01-16T00:00:00"/>
    <s v="Email"/>
    <x v="2"/>
    <n v="1178.29"/>
    <n v="174"/>
    <n v="38"/>
    <n v="2025"/>
    <x v="7"/>
    <n v="0.21839080459770099"/>
    <s v="High"/>
    <n v="6.7717816091953997"/>
    <n v="31.0076315789474"/>
  </r>
  <r>
    <s v="CMP0139"/>
    <d v="2025-03-18T00:00:00"/>
    <s v="Influencer"/>
    <x v="0"/>
    <n v="1857.7"/>
    <n v="309"/>
    <n v="42"/>
    <n v="2025"/>
    <x v="4"/>
    <n v="0.13592233009708701"/>
    <s v="Low"/>
    <n v="6.0119741100323596"/>
    <n v="44.230952380952402"/>
  </r>
  <r>
    <s v="CMP0204"/>
    <d v="2026-01-31T00:00:00"/>
    <s v="Unknown"/>
    <x v="2"/>
    <n v="3708.29"/>
    <n v="637"/>
    <n v="77"/>
    <n v="2026"/>
    <x v="7"/>
    <n v="0.120879120879121"/>
    <s v="Low"/>
    <n v="5.8214913657770797"/>
    <n v="48.1596103896104"/>
  </r>
  <r>
    <s v="CMP0086"/>
    <d v="2025-09-10T00:00:00"/>
    <s v="Search"/>
    <x v="0"/>
    <n v="1245.05"/>
    <n v="135"/>
    <n v="28"/>
    <n v="2025"/>
    <x v="8"/>
    <n v="0.20740740740740701"/>
    <s v="High"/>
    <n v="9.2225925925925907"/>
    <n v="44.466071428571396"/>
  </r>
  <r>
    <s v="CMP0180"/>
    <d v="2025-03-28T00:00:00"/>
    <s v="Social Media"/>
    <x v="4"/>
    <n v="2426.4499999999998"/>
    <n v="221"/>
    <n v="54"/>
    <n v="2025"/>
    <x v="4"/>
    <n v="0.24434389140271501"/>
    <s v="High"/>
    <n v="10.979411764705899"/>
    <n v="44.934259259259299"/>
  </r>
  <r>
    <s v="CMP0214"/>
    <d v="2026-02-10T00:00:00"/>
    <s v="Radio"/>
    <x v="1"/>
    <n v="1395.38"/>
    <n v="115"/>
    <n v="14"/>
    <n v="2026"/>
    <x v="0"/>
    <n v="0.121739130434783"/>
    <s v="Low"/>
    <n v="12.133739130434799"/>
    <n v="99.67"/>
  </r>
  <r>
    <s v="CMP0210"/>
    <d v="2026-06-06T00:00:00"/>
    <s v="Email"/>
    <x v="2"/>
    <n v="2959.61"/>
    <n v="393"/>
    <n v="75"/>
    <n v="2026"/>
    <x v="1"/>
    <n v="0.19083969465648901"/>
    <s v="High"/>
    <n v="7.5308142493638703"/>
    <n v="39.461466666666702"/>
  </r>
  <r>
    <s v="CMP0075"/>
    <d v="2026-07-29T00:00:00"/>
    <s v="Influencer"/>
    <x v="4"/>
    <n v="3750.07"/>
    <n v="877"/>
    <n v="221"/>
    <n v="2026"/>
    <x v="9"/>
    <n v="0.251995438996579"/>
    <s v="High"/>
    <n v="4.2760205245153902"/>
    <n v="16.968642533936698"/>
  </r>
  <r>
    <s v="CMP0173"/>
    <d v="2026-03-20T00:00:00"/>
    <s v="Radio"/>
    <x v="0"/>
    <n v="3169.93"/>
    <n v="615"/>
    <n v="62"/>
    <n v="2026"/>
    <x v="4"/>
    <n v="0.100813008130081"/>
    <s v="Low"/>
    <n v="5.15435772357724"/>
    <n v="51.127903225806499"/>
  </r>
  <r>
    <s v="CMP0159"/>
    <d v="2025-08-01T00:00:00"/>
    <s v="Social Media"/>
    <x v="2"/>
    <n v="430.74"/>
    <n v="79"/>
    <n v="12"/>
    <n v="2025"/>
    <x v="6"/>
    <n v="0.151898734177215"/>
    <s v="Low"/>
    <n v="5.4524050632911401"/>
    <n v="35.895000000000003"/>
  </r>
  <r>
    <s v="CMP0181"/>
    <d v="2026-05-22T00:00:00"/>
    <s v="Search"/>
    <x v="5"/>
    <n v="1524.32"/>
    <n v="371"/>
    <n v="104"/>
    <n v="2026"/>
    <x v="2"/>
    <n v="0.280323450134771"/>
    <s v="High"/>
    <n v="4.1086792452830201"/>
    <n v="14.6569230769231"/>
  </r>
  <r>
    <s v="CMP0194"/>
    <d v="2026-06-03T00:00:00"/>
    <s v="Email"/>
    <x v="6"/>
    <n v="2937.63"/>
    <n v="426"/>
    <n v="154"/>
    <n v="2026"/>
    <x v="1"/>
    <n v="0.36150234741783999"/>
    <s v="High"/>
    <n v="6.8958450704225402"/>
    <n v="19.0755194805195"/>
  </r>
  <r>
    <s v="CMP0060"/>
    <d v="2025-09-06T00:00:00"/>
    <s v="Email"/>
    <x v="6"/>
    <n v="1901.11"/>
    <n v="362"/>
    <n v="73"/>
    <n v="2025"/>
    <x v="8"/>
    <n v="0.20165745856353601"/>
    <s v="High"/>
    <n v="5.25168508287293"/>
    <n v="26.042602739726"/>
  </r>
  <r>
    <s v="CMP0185"/>
    <d v="2025-06-26T00:00:00"/>
    <s v="Influencer"/>
    <x v="0"/>
    <n v="2155.5"/>
    <n v="224"/>
    <n v="44"/>
    <n v="2025"/>
    <x v="1"/>
    <n v="0.19642857142857101"/>
    <s v="High"/>
    <n v="9.6227678571428594"/>
    <n v="48.988636363636402"/>
  </r>
  <r>
    <s v="CMP0093"/>
    <d v="2025-10-19T00:00:00"/>
    <s v="Influencer"/>
    <x v="5"/>
    <n v="279"/>
    <n v="43"/>
    <n v="8"/>
    <n v="2025"/>
    <x v="10"/>
    <n v="0.186046511627907"/>
    <s v="Low"/>
    <n v="6.4883720930232602"/>
    <n v="34.875"/>
  </r>
  <r>
    <s v="CMP0272"/>
    <d v="2025-04-20T00:00:00"/>
    <s v="Social Media"/>
    <x v="6"/>
    <n v="617.57000000000005"/>
    <n v="96"/>
    <n v="17"/>
    <n v="2025"/>
    <x v="5"/>
    <n v="0.17708333333333301"/>
    <s v="Low"/>
    <n v="6.4330208333333303"/>
    <n v="36.327647058823501"/>
  </r>
  <r>
    <s v="CMP0201"/>
    <d v="2025-08-09T00:00:00"/>
    <s v="Email"/>
    <x v="0"/>
    <n v="1552.76"/>
    <n v="314"/>
    <n v="39"/>
    <n v="2025"/>
    <x v="6"/>
    <n v="0.124203821656051"/>
    <s v="Low"/>
    <n v="4.9450955414012698"/>
    <n v="39.814358974359003"/>
  </r>
  <r>
    <s v="CMP0282"/>
    <d v="2025-02-13T00:00:00"/>
    <s v="Social Media"/>
    <x v="2"/>
    <n v="4354.53"/>
    <n v="426"/>
    <n v="48"/>
    <n v="2025"/>
    <x v="0"/>
    <n v="0.11267605633802801"/>
    <s v="Low"/>
    <n v="10.2219014084507"/>
    <n v="90.719374999999999"/>
  </r>
  <r>
    <s v="CMP0040"/>
    <d v="2025-08-01T00:00:00"/>
    <s v="Search"/>
    <x v="1"/>
    <n v="4824.93"/>
    <n v="437"/>
    <n v="122"/>
    <n v="2025"/>
    <x v="6"/>
    <n v="0.27917620137299798"/>
    <s v="High"/>
    <n v="11.041029748283799"/>
    <n v="39.548606557377099"/>
  </r>
  <r>
    <s v="CMP0109"/>
    <d v="2025-07-19T00:00:00"/>
    <s v="Social Media"/>
    <x v="0"/>
    <n v="3735.12"/>
    <n v="887"/>
    <n v="149"/>
    <n v="2025"/>
    <x v="9"/>
    <n v="0.16798196166854601"/>
    <s v="Low"/>
    <n v="4.21095828635851"/>
    <n v="25.0679194630873"/>
  </r>
  <r>
    <s v="CMP0249"/>
    <d v="2025-09-25T00:00:00"/>
    <s v="Unknown"/>
    <x v="2"/>
    <n v="442.02"/>
    <n v="71"/>
    <n v="19"/>
    <n v="2025"/>
    <x v="8"/>
    <n v="0.26760563380281699"/>
    <s v="High"/>
    <n v="6.2256338028169003"/>
    <n v="23.2642105263158"/>
  </r>
  <r>
    <s v="CMP0215"/>
    <d v="2025-09-16T00:00:00"/>
    <s v="Email"/>
    <x v="2"/>
    <n v="4603.4399999999996"/>
    <n v="1005"/>
    <n v="178"/>
    <n v="2025"/>
    <x v="8"/>
    <n v="0.177114427860697"/>
    <s v="Low"/>
    <n v="4.5805373134328402"/>
    <n v="25.862022471910102"/>
  </r>
  <r>
    <s v="CMP0007"/>
    <d v="2026-01-27T00:00:00"/>
    <s v="Email"/>
    <x v="0"/>
    <n v="1824.13"/>
    <n v="224"/>
    <n v="73"/>
    <n v="2026"/>
    <x v="7"/>
    <n v="0.32589285714285698"/>
    <s v="High"/>
    <n v="8.1434374999999992"/>
    <n v="24.988082191780801"/>
  </r>
  <r>
    <s v="CMP0230"/>
    <d v="2025-12-15T00:00:00"/>
    <s v="Influencer"/>
    <x v="6"/>
    <n v="4886.1400000000003"/>
    <n v="551"/>
    <n v="79"/>
    <n v="2025"/>
    <x v="3"/>
    <n v="0.143375680580762"/>
    <s v="Low"/>
    <n v="8.8677676950998201"/>
    <n v="61.849873417721497"/>
  </r>
  <r>
    <s v="CMP0118"/>
    <d v="2025-05-07T00:00:00"/>
    <s v="Social Media"/>
    <x v="5"/>
    <n v="2869.4949999999999"/>
    <n v="459"/>
    <n v="82"/>
    <n v="2025"/>
    <x v="2"/>
    <n v="0.17864923747276701"/>
    <s v="Low"/>
    <n v="6.2516230936819204"/>
    <n v="34.993841463414597"/>
  </r>
  <r>
    <s v="CMP0124"/>
    <d v="2025-08-05T00:00:00"/>
    <s v="Radio"/>
    <x v="0"/>
    <n v="4259.53"/>
    <n v="393"/>
    <n v="45"/>
    <n v="2025"/>
    <x v="6"/>
    <n v="0.114503816793893"/>
    <s v="Low"/>
    <n v="10.8384987277354"/>
    <n v="94.656222222222198"/>
  </r>
  <r>
    <s v="CMP0039"/>
    <d v="2025-07-31T00:00:00"/>
    <s v="Unknown"/>
    <x v="0"/>
    <n v="1534.26"/>
    <n v="281"/>
    <n v="30"/>
    <n v="2025"/>
    <x v="9"/>
    <n v="0.106761565836299"/>
    <s v="Low"/>
    <n v="5.46"/>
    <n v="51.142000000000003"/>
  </r>
  <r>
    <s v="NEW0005"/>
    <d v="2025-05-26T00:00:00"/>
    <s v="Radio"/>
    <x v="6"/>
    <n v="3315.37"/>
    <n v="691"/>
    <n v="13"/>
    <n v="2025"/>
    <x v="2"/>
    <n v="1.8813314037626601E-2"/>
    <s v="Low"/>
    <n v="4.7979305354558601"/>
    <n v="255.02846153846201"/>
  </r>
  <r>
    <s v="NEW0006"/>
    <d v="2026-01-17T00:00:00"/>
    <s v="Social Media"/>
    <x v="0"/>
    <n v="811.21"/>
    <n v="91"/>
    <n v="19"/>
    <n v="2026"/>
    <x v="7"/>
    <n v="0.20879120879120899"/>
    <s v="High"/>
    <n v="8.9143956043956099"/>
    <n v="42.695263157894701"/>
  </r>
  <r>
    <s v="CMP0154"/>
    <d v="2026-04-14T00:00:00"/>
    <s v="Social Media"/>
    <x v="0"/>
    <n v="4609.66"/>
    <n v="426"/>
    <n v="121"/>
    <n v="2026"/>
    <x v="5"/>
    <n v="0.284037558685446"/>
    <s v="High"/>
    <n v="10.8207981220657"/>
    <n v="38.096363636363598"/>
  </r>
  <r>
    <s v="CMP0010"/>
    <d v="2026-06-01T00:00:00"/>
    <s v="Social Media"/>
    <x v="4"/>
    <n v="3759.67"/>
    <n v="516"/>
    <n v="46"/>
    <n v="2026"/>
    <x v="1"/>
    <n v="8.9147286821705404E-2"/>
    <s v="Low"/>
    <n v="7.2861821705426397"/>
    <n v="81.731956521739093"/>
  </r>
  <r>
    <s v="CMP0242"/>
    <d v="2025-06-05T00:00:00"/>
    <s v="Influencer"/>
    <x v="4"/>
    <n v="3053.83"/>
    <n v="332"/>
    <n v="72"/>
    <n v="2025"/>
    <x v="1"/>
    <n v="0.21686746987951799"/>
    <s v="High"/>
    <n v="9.1982831325301202"/>
    <n v="42.4143055555556"/>
  </r>
  <r>
    <s v="CMP0193"/>
    <d v="2025-02-22T00:00:00"/>
    <s v="Social Media"/>
    <x v="6"/>
    <n v="3697.57"/>
    <n v="344"/>
    <n v="60"/>
    <n v="2025"/>
    <x v="0"/>
    <n v="0.17441860465116299"/>
    <s v="Low"/>
    <n v="10.748749999999999"/>
    <n v="61.626166666666698"/>
  </r>
  <r>
    <s v="CMP0286"/>
    <d v="2025-02-07T00:00:00"/>
    <s v="Social Media"/>
    <x v="0"/>
    <n v="466.08"/>
    <n v="54"/>
    <n v="9"/>
    <n v="2025"/>
    <x v="0"/>
    <n v="0.16666666666666699"/>
    <s v="Low"/>
    <n v="8.6311111111111103"/>
    <n v="51.786666666666697"/>
  </r>
  <r>
    <s v="CMP0184"/>
    <d v="2025-09-18T00:00:00"/>
    <s v="Search"/>
    <x v="0"/>
    <n v="3032.39"/>
    <n v="654"/>
    <n v="187"/>
    <n v="2025"/>
    <x v="8"/>
    <n v="0.28593272171253797"/>
    <s v="High"/>
    <n v="4.6366819571865499"/>
    <n v="16.215989304812801"/>
  </r>
  <r>
    <s v="CMP0167"/>
    <d v="2025-10-11T00:00:00"/>
    <s v="Search"/>
    <x v="6"/>
    <n v="1808.06"/>
    <n v="301"/>
    <n v="83"/>
    <n v="2025"/>
    <x v="10"/>
    <n v="0.27574750830564798"/>
    <s v="High"/>
    <n v="6.0068438538205999"/>
    <n v="21.783855421686798"/>
  </r>
  <r>
    <s v="CMP0103"/>
    <d v="2025-12-09T00:00:00"/>
    <s v="Radio"/>
    <x v="1"/>
    <n v="4596.24"/>
    <n v="446"/>
    <n v="33"/>
    <n v="2025"/>
    <x v="3"/>
    <n v="7.3991031390134507E-2"/>
    <s v="Low"/>
    <n v="10.305470852017899"/>
    <n v="139.28"/>
  </r>
  <r>
    <s v="CMP0022"/>
    <d v="2025-10-22T00:00:00"/>
    <s v="Social Media"/>
    <x v="1"/>
    <n v="2869.4949999999999"/>
    <n v="887"/>
    <n v="92"/>
    <n v="2025"/>
    <x v="10"/>
    <n v="0.103720405862458"/>
    <s v="Low"/>
    <n v="3.2350563697857999"/>
    <n v="31.1901630434783"/>
  </r>
  <r>
    <s v="CMP0120"/>
    <d v="2025-06-12T00:00:00"/>
    <s v="Search"/>
    <x v="0"/>
    <n v="1171.08"/>
    <n v="239"/>
    <n v="77"/>
    <n v="2025"/>
    <x v="1"/>
    <n v="0.32217573221757301"/>
    <s v="High"/>
    <n v="4.8999163179916296"/>
    <n v="15.2088311688312"/>
  </r>
  <r>
    <s v="NEW0007"/>
    <d v="2026-01-27T00:00:00"/>
    <s v="Social Media"/>
    <x v="0"/>
    <n v="4535.59"/>
    <n v="515"/>
    <n v="102"/>
    <n v="2026"/>
    <x v="7"/>
    <n v="0.198058252427185"/>
    <s v="High"/>
    <n v="8.8069708737864101"/>
    <n v="44.466568627450997"/>
  </r>
  <r>
    <s v="CMP0031"/>
    <d v="2025-10-22T00:00:00"/>
    <s v="Search"/>
    <x v="4"/>
    <n v="2516.86"/>
    <n v="396"/>
    <n v="105"/>
    <n v="2025"/>
    <x v="10"/>
    <n v="0.26515151515151503"/>
    <s v="High"/>
    <n v="6.3557070707070702"/>
    <n v="23.970095238095201"/>
  </r>
  <r>
    <s v="CMP0278"/>
    <d v="2025-04-28T00:00:00"/>
    <s v="Social Media"/>
    <x v="6"/>
    <n v="4480.3999999999996"/>
    <n v="623"/>
    <n v="137"/>
    <n v="2025"/>
    <x v="5"/>
    <n v="0.21990369181380401"/>
    <s v="High"/>
    <n v="7.1916532905296897"/>
    <n v="32.703649635036498"/>
  </r>
  <r>
    <s v="CMP0244"/>
    <d v="2025-11-26T00:00:00"/>
    <s v="Search"/>
    <x v="6"/>
    <n v="1871.59"/>
    <n v="449"/>
    <n v="126"/>
    <n v="2025"/>
    <x v="11"/>
    <n v="0.28062360801781699"/>
    <s v="High"/>
    <n v="4.1683518930957701"/>
    <n v="14.8538888888889"/>
  </r>
  <r>
    <s v="CMP0176"/>
    <d v="2025-05-22T00:00:00"/>
    <s v="Influencer"/>
    <x v="0"/>
    <n v="1114.46"/>
    <n v="426"/>
    <n v="15"/>
    <n v="2025"/>
    <x v="2"/>
    <n v="3.5211267605633798E-2"/>
    <s v="Low"/>
    <n v="2.61610328638498"/>
    <n v="74.297333333333299"/>
  </r>
  <r>
    <s v="CMP0021"/>
    <d v="2025-10-11T00:00:00"/>
    <s v="Social Media"/>
    <x v="0"/>
    <n v="3820.16"/>
    <n v="404"/>
    <n v="44"/>
    <n v="2025"/>
    <x v="10"/>
    <n v="0.10891089108910899"/>
    <s v="Low"/>
    <n v="9.4558415841584207"/>
    <n v="86.821818181818202"/>
  </r>
  <r>
    <s v="CMP0148"/>
    <d v="2025-07-22T00:00:00"/>
    <s v="Social Media"/>
    <x v="2"/>
    <n v="3984.76"/>
    <n v="836"/>
    <n v="146"/>
    <n v="2025"/>
    <x v="9"/>
    <n v="0.17464114832535901"/>
    <s v="Low"/>
    <n v="4.7664593301435403"/>
    <n v="27.292876712328798"/>
  </r>
  <r>
    <s v="CMP0208"/>
    <d v="2026-04-21T00:00:00"/>
    <s v="Unknown"/>
    <x v="0"/>
    <n v="4136.17"/>
    <n v="868"/>
    <n v="236"/>
    <n v="2026"/>
    <x v="5"/>
    <n v="0.27188940092165897"/>
    <s v="High"/>
    <n v="4.7651728110599096"/>
    <n v="17.526144067796601"/>
  </r>
  <r>
    <s v="CMP0116"/>
    <d v="2025-02-13T00:00:00"/>
    <s v="Search"/>
    <x v="6"/>
    <n v="1886.26"/>
    <n v="2020"/>
    <n v="64"/>
    <n v="2025"/>
    <x v="0"/>
    <n v="3.1683168316831697E-2"/>
    <s v="Low"/>
    <n v="0.93379207920792096"/>
    <n v="29.4728125"/>
  </r>
  <r>
    <s v="CMP0236"/>
    <d v="2025-06-19T00:00:00"/>
    <s v="Social Media"/>
    <x v="0"/>
    <n v="2545.5100000000002"/>
    <n v="317"/>
    <n v="62"/>
    <n v="2025"/>
    <x v="1"/>
    <n v="0.19558359621451099"/>
    <s v="High"/>
    <n v="8.0299999999999994"/>
    <n v="41.056612903225798"/>
  </r>
  <r>
    <s v="CMP0213"/>
    <d v="2026-03-05T00:00:00"/>
    <s v="Search"/>
    <x v="0"/>
    <n v="3983.85"/>
    <n v="785"/>
    <n v="171"/>
    <n v="2026"/>
    <x v="4"/>
    <n v="0.21783439490445899"/>
    <s v="High"/>
    <n v="5.0749681528662398"/>
    <n v="23.2973684210526"/>
  </r>
  <r>
    <s v="CMP0284"/>
    <d v="2025-03-10T00:00:00"/>
    <s v="Influencer"/>
    <x v="4"/>
    <n v="3390.61"/>
    <n v="426"/>
    <n v="129"/>
    <n v="2025"/>
    <x v="4"/>
    <n v="0.30281690140845102"/>
    <s v="High"/>
    <n v="7.9591784037558702"/>
    <n v="26.283798449612402"/>
  </r>
  <r>
    <s v="CMP0096"/>
    <d v="2025-05-03T00:00:00"/>
    <s v="Influencer"/>
    <x v="6"/>
    <n v="4386.0600000000004"/>
    <n v="363"/>
    <n v="71"/>
    <n v="2025"/>
    <x v="2"/>
    <n v="0.195592286501377"/>
    <s v="High"/>
    <n v="12.0828099173554"/>
    <n v="61.775492957746501"/>
  </r>
  <r>
    <s v="CMP0250"/>
    <d v="2025-03-10T00:00:00"/>
    <s v="Social Media"/>
    <x v="5"/>
    <n v="1162.7"/>
    <n v="264"/>
    <n v="51"/>
    <n v="2025"/>
    <x v="4"/>
    <n v="0.19318181818181801"/>
    <s v="High"/>
    <n v="4.4041666666666703"/>
    <n v="22.798039215686298"/>
  </r>
  <r>
    <s v="CMP0285"/>
    <d v="2025-02-02T00:00:00"/>
    <s v="Radio"/>
    <x v="4"/>
    <n v="4794.5"/>
    <n v="1097"/>
    <n v="164"/>
    <n v="2025"/>
    <x v="0"/>
    <n v="0.14949863263445801"/>
    <s v="Low"/>
    <n v="4.3705560619872399"/>
    <n v="29.234756097561"/>
  </r>
  <r>
    <s v="CMP0246"/>
    <d v="2025-05-20T00:00:00"/>
    <s v="Search"/>
    <x v="0"/>
    <n v="1957.41"/>
    <n v="426"/>
    <n v="112"/>
    <n v="2025"/>
    <x v="2"/>
    <n v="0.26291079812206603"/>
    <s v="High"/>
    <n v="4.5948591549295799"/>
    <n v="17.476875"/>
  </r>
  <r>
    <s v="CMP0279"/>
    <d v="2025-10-04T00:00:00"/>
    <s v="Influencer"/>
    <x v="1"/>
    <n v="3515.62"/>
    <n v="462"/>
    <n v="110"/>
    <n v="2025"/>
    <x v="10"/>
    <n v="0.238095238095238"/>
    <s v="High"/>
    <n v="7.6095670995670996"/>
    <n v="31.960181818181798"/>
  </r>
  <r>
    <s v="CMP0153"/>
    <d v="2025-04-20T00:00:00"/>
    <s v="Social Media"/>
    <x v="2"/>
    <n v="3004.61"/>
    <n v="469"/>
    <n v="62"/>
    <n v="2025"/>
    <x v="5"/>
    <n v="0.13219616204690801"/>
    <s v="Low"/>
    <n v="6.4064179104477601"/>
    <n v="48.461451612903197"/>
  </r>
  <r>
    <s v="CMP0237"/>
    <d v="2025-11-28T00:00:00"/>
    <s v="Email"/>
    <x v="3"/>
    <n v="4745.3500000000004"/>
    <n v="589"/>
    <n v="129"/>
    <n v="2025"/>
    <x v="11"/>
    <n v="0.219015280135823"/>
    <s v="High"/>
    <n v="8.0566213921901504"/>
    <n v="36.7856589147287"/>
  </r>
  <r>
    <s v="CMP0145"/>
    <d v="2026-04-22T00:00:00"/>
    <s v="Email"/>
    <x v="2"/>
    <n v="4019.24"/>
    <n v="352"/>
    <n v="73"/>
    <n v="2026"/>
    <x v="5"/>
    <n v="0.20738636363636401"/>
    <s v="High"/>
    <n v="11.4182954545455"/>
    <n v="55.058082191780798"/>
  </r>
  <r>
    <s v="CMP0030"/>
    <d v="2025-01-22T00:00:00"/>
    <s v="Email"/>
    <x v="0"/>
    <n v="604.73"/>
    <n v="124"/>
    <n v="21"/>
    <n v="2025"/>
    <x v="7"/>
    <n v="0.16935483870967699"/>
    <s v="Low"/>
    <n v="4.8768548387096802"/>
    <n v="28.796666666666699"/>
  </r>
  <r>
    <s v="NEW0008"/>
    <d v="2026-05-01T00:00:00"/>
    <s v="Search"/>
    <x v="0"/>
    <n v="4255.3599999999997"/>
    <n v="958"/>
    <n v="73"/>
    <n v="2026"/>
    <x v="2"/>
    <n v="7.6200417536534504E-2"/>
    <s v="Low"/>
    <n v="4.44192066805845"/>
    <n v="58.292602739726"/>
  </r>
  <r>
    <s v="CMP0001"/>
    <d v="2025-08-02T00:00:00"/>
    <s v="Email"/>
    <x v="1"/>
    <n v="1204.6600000000001"/>
    <n v="426"/>
    <n v="59"/>
    <n v="2025"/>
    <x v="6"/>
    <n v="0.13849765258216001"/>
    <s v="Low"/>
    <n v="2.82784037558686"/>
    <n v="20.417966101694901"/>
  </r>
  <r>
    <s v="CMP0105"/>
    <d v="2025-10-08T00:00:00"/>
    <s v="Social Media"/>
    <x v="2"/>
    <n v="606.14"/>
    <n v="61"/>
    <n v="61"/>
    <n v="2025"/>
    <x v="10"/>
    <n v="1"/>
    <s v="High"/>
    <n v="9.9367213114754094"/>
    <n v="9.9367213114754094"/>
  </r>
  <r>
    <s v="CMP0200"/>
    <d v="2026-07-06T00:00:00"/>
    <s v="Social Media"/>
    <x v="0"/>
    <n v="2072.73"/>
    <n v="291"/>
    <n v="53"/>
    <n v="2026"/>
    <x v="9"/>
    <n v="0.18213058419243999"/>
    <s v="Low"/>
    <n v="7.12278350515464"/>
    <n v="39.108113207547198"/>
  </r>
  <r>
    <s v="CMP0052"/>
    <d v="2025-09-14T00:00:00"/>
    <s v="Influencer"/>
    <x v="6"/>
    <n v="2168.23"/>
    <n v="302"/>
    <n v="35"/>
    <n v="2025"/>
    <x v="8"/>
    <n v="0.115894039735099"/>
    <s v="Low"/>
    <n v="7.1795695364238403"/>
    <n v="61.949428571428598"/>
  </r>
  <r>
    <s v="CMP0283"/>
    <d v="2025-07-26T00:00:00"/>
    <s v="Search"/>
    <x v="5"/>
    <n v="4432.42"/>
    <n v="953"/>
    <n v="211"/>
    <n v="2025"/>
    <x v="9"/>
    <n v="0.221406086044071"/>
    <s v="High"/>
    <n v="4.65101783840504"/>
    <n v="21.006729857819899"/>
  </r>
  <r>
    <s v="CMP0099"/>
    <d v="2025-08-14T00:00:00"/>
    <s v="Search"/>
    <x v="0"/>
    <n v="2869.4949999999999"/>
    <n v="901"/>
    <n v="198"/>
    <n v="2025"/>
    <x v="6"/>
    <n v="0.21975582685904599"/>
    <s v="High"/>
    <n v="3.1847891231964498"/>
    <n v="14.492398989899"/>
  </r>
  <r>
    <s v="CMP0147"/>
    <d v="2026-01-05T00:00:00"/>
    <s v="Search"/>
    <x v="2"/>
    <n v="2656.25"/>
    <n v="484"/>
    <n v="131"/>
    <n v="2026"/>
    <x v="7"/>
    <n v="0.27066115702479299"/>
    <s v="High"/>
    <n v="5.4881198347107398"/>
    <n v="20.276717557251899"/>
  </r>
  <r>
    <s v="CMP0036"/>
    <d v="2026-07-23T00:00:00"/>
    <s v="Radio"/>
    <x v="2"/>
    <n v="4681.12"/>
    <n v="461"/>
    <n v="43"/>
    <n v="2026"/>
    <x v="9"/>
    <n v="9.3275488069414297E-2"/>
    <s v="Low"/>
    <n v="10.154273318872001"/>
    <n v="108.863255813954"/>
  </r>
  <r>
    <s v="CMP0216"/>
    <d v="2025-12-31T00:00:00"/>
    <s v="Radio"/>
    <x v="2"/>
    <n v="1436.63"/>
    <n v="325"/>
    <n v="73"/>
    <n v="2025"/>
    <x v="3"/>
    <n v="0.22461538461538499"/>
    <s v="High"/>
    <n v="4.4203999999999999"/>
    <n v="19.679863013698601"/>
  </r>
  <r>
    <s v="CMP0241"/>
    <d v="2025-01-23T00:00:00"/>
    <s v="Search"/>
    <x v="5"/>
    <n v="4866.42"/>
    <n v="484"/>
    <n v="130"/>
    <n v="2025"/>
    <x v="7"/>
    <n v="0.26859504132231399"/>
    <s v="High"/>
    <n v="10.0545867768595"/>
    <n v="37.433999999999997"/>
  </r>
  <r>
    <s v="CMP0076"/>
    <d v="2026-03-07T00:00:00"/>
    <s v="Search"/>
    <x v="6"/>
    <n v="1750.35"/>
    <n v="310"/>
    <n v="82"/>
    <n v="2026"/>
    <x v="4"/>
    <n v="0.26451612903225802"/>
    <s v="High"/>
    <n v="5.64629032258064"/>
    <n v="21.3457317073171"/>
  </r>
  <r>
    <s v="CMP0137"/>
    <d v="2025-03-10T00:00:00"/>
    <s v="Unknown"/>
    <x v="1"/>
    <n v="4171.16"/>
    <n v="800"/>
    <n v="160"/>
    <n v="2025"/>
    <x v="4"/>
    <n v="0.2"/>
    <s v="High"/>
    <n v="5.2139499999999996"/>
    <n v="26.069749999999999"/>
  </r>
  <r>
    <s v="CMP0234"/>
    <d v="2025-11-28T00:00:00"/>
    <s v="Social Media"/>
    <x v="0"/>
    <n v="2869.4949999999999"/>
    <n v="757"/>
    <n v="84"/>
    <n v="2025"/>
    <x v="11"/>
    <n v="0.11096433289299901"/>
    <s v="Low"/>
    <n v="3.7906142668428"/>
    <n v="34.160654761904802"/>
  </r>
  <r>
    <s v="CMP0191"/>
    <d v="2026-06-22T00:00:00"/>
    <s v="Search"/>
    <x v="4"/>
    <n v="3586.84"/>
    <n v="484"/>
    <n v="119"/>
    <n v="2026"/>
    <x v="1"/>
    <n v="0.245867768595041"/>
    <s v="High"/>
    <n v="7.4108264462809901"/>
    <n v="30.141512605041999"/>
  </r>
  <r>
    <s v="CMP0014"/>
    <d v="2025-04-11T00:00:00"/>
    <s v="Unknown"/>
    <x v="0"/>
    <n v="3209.43"/>
    <n v="588"/>
    <n v="135"/>
    <n v="2025"/>
    <x v="5"/>
    <n v="0.22959183673469399"/>
    <s v="High"/>
    <n v="5.4582142857142903"/>
    <n v="23.7735555555556"/>
  </r>
  <r>
    <s v="CMP0112"/>
    <d v="2026-01-15T00:00:00"/>
    <s v="Search"/>
    <x v="6"/>
    <n v="3566.31"/>
    <n v="426"/>
    <n v="112"/>
    <n v="2026"/>
    <x v="7"/>
    <n v="0.26291079812206603"/>
    <s v="High"/>
    <n v="8.3716197183098604"/>
    <n v="31.8420535714286"/>
  </r>
  <r>
    <s v="CMP0166"/>
    <d v="2025-10-11T00:00:00"/>
    <s v="Search"/>
    <x v="6"/>
    <n v="1846.32"/>
    <n v="335"/>
    <n v="74"/>
    <n v="2025"/>
    <x v="10"/>
    <n v="0.22089552238806001"/>
    <s v="High"/>
    <n v="5.5114029850746302"/>
    <n v="24.950270270270298"/>
  </r>
  <r>
    <s v="CMP0240"/>
    <d v="2025-09-15T00:00:00"/>
    <s v="Radio"/>
    <x v="0"/>
    <n v="-9"/>
    <n v="728"/>
    <n v="36"/>
    <n v="2025"/>
    <x v="8"/>
    <n v="4.9450549450549497E-2"/>
    <s v="Low"/>
    <n v="-1.23626373626374E-2"/>
    <n v="-0.25"/>
  </r>
  <r>
    <s v="CMP0045"/>
    <d v="2026-05-19T00:00:00"/>
    <s v="Social Media"/>
    <x v="4"/>
    <n v="2468.4899999999998"/>
    <n v="507"/>
    <n v="47"/>
    <n v="2026"/>
    <x v="2"/>
    <n v="9.2702169625246605E-2"/>
    <s v="Low"/>
    <n v="4.8688165680473396"/>
    <n v="52.521063829787202"/>
  </r>
  <r>
    <s v="CMP0081"/>
    <d v="2026-03-24T00:00:00"/>
    <s v="Radio"/>
    <x v="5"/>
    <n v="4251.95"/>
    <n v="426"/>
    <n v="32"/>
    <n v="2026"/>
    <x v="4"/>
    <n v="7.5117370892018795E-2"/>
    <s v="Low"/>
    <n v="9.9811032863849807"/>
    <n v="132.87343749999999"/>
  </r>
  <r>
    <s v="CMP0165"/>
    <d v="2025-10-11T00:00:00"/>
    <s v="Email"/>
    <x v="2"/>
    <n v="1351.61"/>
    <n v="295"/>
    <n v="66"/>
    <n v="2025"/>
    <x v="10"/>
    <n v="0.223728813559322"/>
    <s v="High"/>
    <n v="4.5817288135593204"/>
    <n v="20.478939393939399"/>
  </r>
  <r>
    <s v="CMP0004"/>
    <d v="2025-06-10T00:00:00"/>
    <s v="Social Media"/>
    <x v="6"/>
    <n v="2984.14"/>
    <n v="517"/>
    <n v="110"/>
    <n v="2025"/>
    <x v="1"/>
    <n v="0.21276595744680901"/>
    <s v="High"/>
    <n v="5.7720309477756304"/>
    <n v="27.128545454545499"/>
  </r>
  <r>
    <s v="CMP0172"/>
    <d v="2025-11-11T00:00:00"/>
    <s v="Influencer"/>
    <x v="6"/>
    <n v="895.61"/>
    <n v="426"/>
    <n v="41"/>
    <n v="2025"/>
    <x v="11"/>
    <n v="9.6244131455399104E-2"/>
    <s v="Low"/>
    <n v="2.1023708920187798"/>
    <n v="21.8441463414634"/>
  </r>
  <r>
    <s v="CMP0140"/>
    <d v="2025-03-29T00:00:00"/>
    <s v="Email"/>
    <x v="0"/>
    <n v="3589.39"/>
    <n v="740"/>
    <n v="168"/>
    <n v="2025"/>
    <x v="4"/>
    <n v="0.22702702702702701"/>
    <s v="High"/>
    <n v="4.85052702702703"/>
    <n v="21.3654166666667"/>
  </r>
  <r>
    <s v="CMP0072"/>
    <d v="2025-12-04T00:00:00"/>
    <s v="Email"/>
    <x v="0"/>
    <n v="3437.29"/>
    <n v="525"/>
    <n v="158"/>
    <n v="2025"/>
    <x v="3"/>
    <n v="0.30095238095238103"/>
    <s v="High"/>
    <n v="6.5472190476190502"/>
    <n v="21.754999999999999"/>
  </r>
  <r>
    <s v="CMP0256"/>
    <d v="2026-03-26T00:00:00"/>
    <s v="Radio"/>
    <x v="0"/>
    <n v="2604.7199999999998"/>
    <n v="214"/>
    <n v="73"/>
    <n v="2026"/>
    <x v="4"/>
    <n v="0.34112149532710301"/>
    <s v="High"/>
    <n v="12.171588785046699"/>
    <n v="35.681095890411001"/>
  </r>
  <r>
    <s v="CMP0205"/>
    <d v="2026-01-23T00:00:00"/>
    <s v="Social Media"/>
    <x v="0"/>
    <n v="2106.4499999999998"/>
    <n v="520"/>
    <n v="85"/>
    <n v="2026"/>
    <x v="7"/>
    <n v="0.16346153846153899"/>
    <s v="Low"/>
    <n v="4.0508653846153804"/>
    <n v="24.781764705882399"/>
  </r>
  <r>
    <s v="CMP0190"/>
    <d v="2026-03-28T00:00:00"/>
    <s v="Unknown"/>
    <x v="2"/>
    <n v="3757.81"/>
    <n v="399"/>
    <n v="52"/>
    <n v="2026"/>
    <x v="4"/>
    <n v="0.13032581453634101"/>
    <s v="Low"/>
    <n v="9.4180701754386007"/>
    <n v="72.265576923076907"/>
  </r>
  <r>
    <s v="CMP0053"/>
    <d v="2025-04-19T00:00:00"/>
    <s v="Influencer"/>
    <x v="2"/>
    <n v="758.47"/>
    <n v="150"/>
    <n v="33"/>
    <n v="2025"/>
    <x v="5"/>
    <n v="0.22"/>
    <s v="High"/>
    <n v="5.0564666666666698"/>
    <n v="22.983939393939401"/>
  </r>
  <r>
    <s v="CMP0235"/>
    <d v="2025-02-13T00:00:00"/>
    <s v="Search"/>
    <x v="2"/>
    <n v="3453.41"/>
    <n v="860"/>
    <n v="230"/>
    <n v="2025"/>
    <x v="0"/>
    <n v="0.26744186046511598"/>
    <s v="High"/>
    <n v="4.0155930232558097"/>
    <n v="15.0148260869565"/>
  </r>
  <r>
    <s v="CMP0101"/>
    <d v="2025-05-08T00:00:00"/>
    <s v="Unknown"/>
    <x v="5"/>
    <n v="3113.76"/>
    <n v="646"/>
    <n v="184"/>
    <n v="2025"/>
    <x v="2"/>
    <n v="0.284829721362229"/>
    <s v="High"/>
    <n v="4.8200619195046404"/>
    <n v="16.922608695652201"/>
  </r>
  <r>
    <s v="CMP0070"/>
    <d v="2025-03-31T00:00:00"/>
    <s v="Radio"/>
    <x v="2"/>
    <n v="2706.78"/>
    <n v="224"/>
    <n v="30"/>
    <n v="2025"/>
    <x v="4"/>
    <n v="0.13392857142857101"/>
    <s v="Low"/>
    <n v="12.0838392857143"/>
    <n v="90.225999999999999"/>
  </r>
  <r>
    <s v="CMP0155"/>
    <d v="2025-07-07T00:00:00"/>
    <s v="Unknown"/>
    <x v="0"/>
    <n v="2406.87"/>
    <n v="496"/>
    <n v="96"/>
    <n v="2025"/>
    <x v="9"/>
    <n v="0.19354838709677399"/>
    <s v="High"/>
    <n v="4.8525604838709704"/>
    <n v="25.071562499999999"/>
  </r>
  <r>
    <s v="CMP0211"/>
    <d v="2026-01-12T00:00:00"/>
    <s v="Unknown"/>
    <x v="2"/>
    <n v="2269.65"/>
    <n v="233"/>
    <n v="23"/>
    <n v="2026"/>
    <x v="7"/>
    <n v="9.8712446351931299E-2"/>
    <s v="Low"/>
    <n v="9.7409871244635209"/>
    <n v="98.6804347826087"/>
  </r>
  <r>
    <s v="CMP0163"/>
    <d v="2025-08-14T00:00:00"/>
    <s v="Social Media"/>
    <x v="2"/>
    <n v="1957.35"/>
    <n v="435"/>
    <n v="49"/>
    <n v="2025"/>
    <x v="6"/>
    <n v="0.11264367816092"/>
    <s v="Low"/>
    <n v="4.4996551724137896"/>
    <n v="39.945918367346898"/>
  </r>
  <r>
    <s v="CMP0252"/>
    <d v="2025-12-14T00:00:00"/>
    <s v="Social Media"/>
    <x v="2"/>
    <n v="4875.24"/>
    <n v="1160"/>
    <n v="174"/>
    <n v="2025"/>
    <x v="3"/>
    <n v="0.15"/>
    <s v="Low"/>
    <n v="4.2027931034482799"/>
    <n v="28.018620689655201"/>
  </r>
  <r>
    <s v="CMP0015"/>
    <d v="2026-01-06T00:00:00"/>
    <s v="Unknown"/>
    <x v="6"/>
    <n v="1839.96"/>
    <n v="417"/>
    <n v="417"/>
    <n v="2026"/>
    <x v="7"/>
    <n v="1"/>
    <s v="High"/>
    <n v="4.4123741007194299"/>
    <n v="4.4123741007194299"/>
  </r>
  <r>
    <s v="CMP0192"/>
    <d v="2025-01-28T00:00:00"/>
    <s v="Search"/>
    <x v="1"/>
    <n v="4324.55"/>
    <n v="801"/>
    <n v="155"/>
    <n v="2025"/>
    <x v="7"/>
    <n v="0.19350811485642999"/>
    <s v="High"/>
    <n v="5.39893882646692"/>
    <n v="27.900322580645199"/>
  </r>
  <r>
    <s v="CMP0243"/>
    <d v="2025-10-25T00:00:00"/>
    <s v="Social Media"/>
    <x v="2"/>
    <n v="2066.77"/>
    <n v="191"/>
    <n v="15"/>
    <n v="2025"/>
    <x v="10"/>
    <n v="7.8534031413612607E-2"/>
    <s v="Low"/>
    <n v="10.820785340314099"/>
    <n v="137.78466666666699"/>
  </r>
  <r>
    <s v="CMP0126"/>
    <d v="2026-03-22T00:00:00"/>
    <s v="Email"/>
    <x v="0"/>
    <n v="4671.55"/>
    <n v="447"/>
    <n v="104"/>
    <n v="2026"/>
    <x v="4"/>
    <n v="0.23266219239373601"/>
    <s v="High"/>
    <n v="10.4508948545861"/>
    <n v="44.918750000000003"/>
  </r>
  <r>
    <s v="CMP0056"/>
    <d v="2026-05-05T00:00:00"/>
    <s v="Social Media"/>
    <x v="1"/>
    <n v="1554.65"/>
    <n v="330"/>
    <n v="73"/>
    <n v="2026"/>
    <x v="2"/>
    <n v="0.221212121212121"/>
    <s v="High"/>
    <n v="4.7110606060606104"/>
    <n v="21.2965753424658"/>
  </r>
  <r>
    <s v="CMP0034"/>
    <d v="2025-10-31T00:00:00"/>
    <s v="Search"/>
    <x v="0"/>
    <n v="1486.86"/>
    <n v="163"/>
    <n v="44"/>
    <n v="2025"/>
    <x v="10"/>
    <n v="0.26993865030674902"/>
    <s v="High"/>
    <n v="9.1218404907975508"/>
    <n v="33.792272727272703"/>
  </r>
  <r>
    <s v="CMP0026"/>
    <d v="2026-05-07T00:00:00"/>
    <s v="Search"/>
    <x v="0"/>
    <n v="4162.01"/>
    <n v="572"/>
    <n v="103"/>
    <n v="2026"/>
    <x v="2"/>
    <n v="0.18006993006993"/>
    <s v="Low"/>
    <n v="7.2762412587412602"/>
    <n v="40.407864077669899"/>
  </r>
  <r>
    <s v="CMP0276"/>
    <d v="2025-07-31T00:00:00"/>
    <s v="Influencer"/>
    <x v="0"/>
    <n v="4816.16"/>
    <n v="1036"/>
    <n v="207"/>
    <n v="2025"/>
    <x v="9"/>
    <n v="0.19980694980694999"/>
    <s v="High"/>
    <n v="4.6488030888030902"/>
    <n v="23.266473429951699"/>
  </r>
  <r>
    <s v="CMP0128"/>
    <d v="2025-02-21T00:00:00"/>
    <s v="Search"/>
    <x v="0"/>
    <n v="2869.4949999999999"/>
    <n v="520"/>
    <n v="147"/>
    <n v="2025"/>
    <x v="0"/>
    <n v="0.28269230769230802"/>
    <s v="High"/>
    <n v="5.5182596153846202"/>
    <n v="19.520374149659901"/>
  </r>
  <r>
    <s v="NEW0009"/>
    <d v="2025-09-04T00:00:00"/>
    <s v="Search"/>
    <x v="2"/>
    <n v="3197.3"/>
    <n v="300"/>
    <n v="78"/>
    <n v="2025"/>
    <x v="8"/>
    <n v="0.26"/>
    <s v="High"/>
    <n v="10.657666666666699"/>
    <n v="40.991025641025601"/>
  </r>
  <r>
    <s v="CMP0273"/>
    <d v="2026-04-12T00:00:00"/>
    <s v="Search"/>
    <x v="6"/>
    <n v="2869.4949999999999"/>
    <n v="750"/>
    <n v="183"/>
    <n v="2026"/>
    <x v="5"/>
    <n v="0.24399999999999999"/>
    <s v="High"/>
    <n v="3.8259933333333298"/>
    <n v="15.6803005464481"/>
  </r>
  <r>
    <s v="NEW0010"/>
    <d v="2026-04-06T00:00:00"/>
    <s v="Social Media"/>
    <x v="0"/>
    <n v="4360.6899999999996"/>
    <n v="883"/>
    <n v="151"/>
    <n v="2026"/>
    <x v="5"/>
    <n v="0.171007927519819"/>
    <s v="Low"/>
    <n v="4.9384937712344303"/>
    <n v="28.878741721854301"/>
  </r>
  <r>
    <s v="CMP0064"/>
    <d v="2026-02-22T00:00:00"/>
    <s v="Search"/>
    <x v="0"/>
    <n v="509.05"/>
    <n v="426"/>
    <n v="15"/>
    <n v="2026"/>
    <x v="0"/>
    <n v="3.5211267605633798E-2"/>
    <s v="Low"/>
    <n v="1.1949530516431901"/>
    <n v="33.936666666666703"/>
  </r>
  <r>
    <s v="CMP0253"/>
    <d v="2025-07-18T00:00:00"/>
    <s v="Radio"/>
    <x v="4"/>
    <n v="3099.62"/>
    <n v="260"/>
    <n v="24"/>
    <n v="2025"/>
    <x v="9"/>
    <n v="9.2307692307692299E-2"/>
    <s v="Low"/>
    <n v="11.9216153846154"/>
    <n v="129.150833333333"/>
  </r>
  <r>
    <s v="CMP0189"/>
    <d v="2026-01-24T00:00:00"/>
    <s v="Search"/>
    <x v="1"/>
    <n v="1406.28"/>
    <n v="308"/>
    <n v="84"/>
    <n v="2026"/>
    <x v="7"/>
    <n v="0.27272727272727298"/>
    <s v="High"/>
    <n v="4.56584415584416"/>
    <n v="16.7414285714286"/>
  </r>
  <r>
    <s v="CMP0225"/>
    <d v="2026-05-23T00:00:00"/>
    <s v="Social Media"/>
    <x v="6"/>
    <n v="3075.69"/>
    <n v="253"/>
    <n v="49"/>
    <n v="2026"/>
    <x v="2"/>
    <n v="0.19367588932806301"/>
    <s v="High"/>
    <n v="12.156877470355701"/>
    <n v="62.769183673469399"/>
  </r>
  <r>
    <s v="CMP0255"/>
    <d v="2025-10-11T00:00:00"/>
    <s v="Radio"/>
    <x v="0"/>
    <n v="1058.8800000000001"/>
    <n v="160"/>
    <n v="10"/>
    <n v="2025"/>
    <x v="10"/>
    <n v="6.25E-2"/>
    <s v="Low"/>
    <n v="6.6180000000000003"/>
    <n v="105.88800000000001"/>
  </r>
  <r>
    <s v="CMP0186"/>
    <d v="2025-02-06T00:00:00"/>
    <s v="Radio"/>
    <x v="0"/>
    <n v="1708.14"/>
    <n v="384"/>
    <n v="30"/>
    <n v="2025"/>
    <x v="0"/>
    <n v="7.8125E-2"/>
    <s v="Low"/>
    <n v="4.44828125"/>
    <n v="56.938000000000002"/>
  </r>
  <r>
    <s v="CMP0158"/>
    <d v="2026-02-13T00:00:00"/>
    <s v="Search"/>
    <x v="1"/>
    <n v="3360.35"/>
    <n v="731"/>
    <n v="210"/>
    <n v="2026"/>
    <x v="0"/>
    <n v="0.28727770177838602"/>
    <s v="High"/>
    <n v="4.5969220246238001"/>
    <n v="16.001666666666701"/>
  </r>
  <r>
    <s v="CMP0129"/>
    <d v="2026-04-20T00:00:00"/>
    <s v="Social Media"/>
    <x v="2"/>
    <n v="4637.84"/>
    <n v="586"/>
    <n v="67"/>
    <n v="2026"/>
    <x v="5"/>
    <n v="0.114334470989761"/>
    <s v="Low"/>
    <n v="7.9144027303754303"/>
    <n v="69.221492537313395"/>
  </r>
  <r>
    <s v="CMP0146"/>
    <d v="2026-07-22T00:00:00"/>
    <s v="Social Media"/>
    <x v="2"/>
    <n v="2869.4949999999999"/>
    <n v="756"/>
    <n v="94"/>
    <n v="2026"/>
    <x v="9"/>
    <n v="0.124338624338624"/>
    <s v="Low"/>
    <n v="3.7956283068783101"/>
    <n v="30.526542553191501"/>
  </r>
  <r>
    <s v="CMP0054"/>
    <d v="2026-03-20T00:00:00"/>
    <s v="Social Media"/>
    <x v="2"/>
    <n v="564.82000000000005"/>
    <n v="92"/>
    <n v="16"/>
    <n v="2026"/>
    <x v="4"/>
    <n v="0.173913043478261"/>
    <s v="Low"/>
    <n v="6.1393478260869596"/>
    <n v="35.301250000000003"/>
  </r>
  <r>
    <s v="CMP0174"/>
    <d v="2026-01-28T00:00:00"/>
    <s v="Influencer"/>
    <x v="4"/>
    <n v="4084.51"/>
    <n v="978"/>
    <n v="175"/>
    <n v="2026"/>
    <x v="7"/>
    <n v="0.178936605316973"/>
    <s v="Low"/>
    <n v="4.1763905930470404"/>
    <n v="23.340057142857098"/>
  </r>
  <r>
    <s v="CMP0223"/>
    <d v="2025-09-26T00:00:00"/>
    <s v="Unknown"/>
    <x v="2"/>
    <n v="2963.92"/>
    <n v="728"/>
    <n v="109"/>
    <n v="2025"/>
    <x v="8"/>
    <n v="0.149725274725275"/>
    <s v="Low"/>
    <n v="4.0713186813186804"/>
    <n v="27.191926605504602"/>
  </r>
  <r>
    <s v="CMP0202"/>
    <d v="2025-11-26T00:00:00"/>
    <s v="Influencer"/>
    <x v="1"/>
    <n v="4031.15"/>
    <n v="324"/>
    <n v="73"/>
    <n v="2025"/>
    <x v="11"/>
    <n v="0.225308641975309"/>
    <s v="High"/>
    <n v="12.4418209876543"/>
    <n v="55.2212328767123"/>
  </r>
  <r>
    <s v="CMP0261"/>
    <d v="2025-10-11T00:00:00"/>
    <s v="Social Media"/>
    <x v="1"/>
    <n v="2638.6"/>
    <n v="350"/>
    <n v="52"/>
    <n v="2025"/>
    <x v="10"/>
    <n v="0.14857142857142899"/>
    <s v="Low"/>
    <n v="7.5388571428571396"/>
    <n v="50.742307692307698"/>
  </r>
  <r>
    <s v="CMP0024"/>
    <d v="2025-01-25T00:00:00"/>
    <s v="Radio"/>
    <x v="0"/>
    <n v="3839.36"/>
    <n v="676"/>
    <n v="32"/>
    <n v="2025"/>
    <x v="7"/>
    <n v="4.7337278106508902E-2"/>
    <s v="Low"/>
    <n v="5.67952662721894"/>
    <n v="119.98"/>
  </r>
  <r>
    <s v="CMP0170"/>
    <d v="2025-02-21T00:00:00"/>
    <s v="Social Media"/>
    <x v="0"/>
    <n v="419.97"/>
    <n v="46"/>
    <n v="6"/>
    <n v="2025"/>
    <x v="0"/>
    <n v="0.13043478260869601"/>
    <s v="Low"/>
    <n v="9.1297826086956508"/>
    <n v="69.995000000000005"/>
  </r>
  <r>
    <s v="CMP0127"/>
    <d v="2025-01-03T00:00:00"/>
    <s v="Social Media"/>
    <x v="0"/>
    <n v="2033.78"/>
    <n v="454"/>
    <n v="63"/>
    <n v="2025"/>
    <x v="7"/>
    <n v="0.13876651982378899"/>
    <s v="Low"/>
    <n v="4.4796916299559504"/>
    <n v="32.282222222222202"/>
  </r>
  <r>
    <s v="CMP0074"/>
    <d v="2025-06-22T00:00:00"/>
    <s v="Influencer"/>
    <x v="2"/>
    <n v="2615.8200000000002"/>
    <n v="529"/>
    <n v="102"/>
    <n v="2025"/>
    <x v="1"/>
    <n v="0.19281663516068101"/>
    <s v="High"/>
    <n v="4.9448393194706997"/>
    <n v="25.645294117647101"/>
  </r>
  <r>
    <s v="CMP0106"/>
    <d v="2026-07-15T00:00:00"/>
    <s v="Search"/>
    <x v="4"/>
    <n v="4146.0600000000004"/>
    <n v="668"/>
    <n v="192"/>
    <n v="2026"/>
    <x v="9"/>
    <n v="0.28742514970059901"/>
    <s v="High"/>
    <n v="6.2066766467065904"/>
    <n v="21.5940625"/>
  </r>
  <r>
    <s v="CMP0178"/>
    <d v="2025-05-20T00:00:00"/>
    <s v="Influencer"/>
    <x v="5"/>
    <n v="2869.4949999999999"/>
    <n v="64"/>
    <n v="12"/>
    <n v="2025"/>
    <x v="2"/>
    <n v="0.1875"/>
    <s v="Low"/>
    <n v="44.835859374999998"/>
    <n v="239.12458333333299"/>
  </r>
  <r>
    <s v="CMP0133"/>
    <d v="2026-05-15T00:00:00"/>
    <s v="Social Media"/>
    <x v="0"/>
    <n v="3851.93"/>
    <n v="472"/>
    <n v="37"/>
    <n v="2026"/>
    <x v="2"/>
    <n v="7.8389830508474603E-2"/>
    <s v="Low"/>
    <n v="8.1608686440678007"/>
    <n v="104.106216216216"/>
  </r>
  <r>
    <s v="NEW0011"/>
    <d v="2026-01-21T00:00:00"/>
    <s v="Search"/>
    <x v="6"/>
    <n v="2903.71"/>
    <n v="352"/>
    <n v="114"/>
    <n v="2026"/>
    <x v="7"/>
    <n v="0.32386363636363602"/>
    <s v="High"/>
    <n v="8.2491761363636407"/>
    <n v="25.471140350877199"/>
  </r>
  <r>
    <s v="CMP0078"/>
    <d v="2026-05-12T00:00:00"/>
    <s v="Search"/>
    <x v="1"/>
    <n v="2869.4949999999999"/>
    <n v="501"/>
    <n v="140"/>
    <n v="2026"/>
    <x v="2"/>
    <n v="0.279441117764471"/>
    <s v="High"/>
    <n v="5.7275349301397203"/>
    <n v="20.496392857142901"/>
  </r>
  <r>
    <s v="CMP0245"/>
    <d v="2025-06-30T00:00:00"/>
    <s v="Influencer"/>
    <x v="0"/>
    <n v="4645.7299999999996"/>
    <n v="402"/>
    <n v="96"/>
    <n v="2025"/>
    <x v="1"/>
    <n v="0.238805970149254"/>
    <s v="High"/>
    <n v="11.5565422885572"/>
    <n v="48.393020833333303"/>
  </r>
  <r>
    <s v="CMP0290"/>
    <d v="2026-07-04T00:00:00"/>
    <s v="Social Media"/>
    <x v="0"/>
    <n v="3317.64"/>
    <n v="470"/>
    <n v="42"/>
    <n v="2026"/>
    <x v="9"/>
    <n v="8.9361702127659606E-2"/>
    <s v="Low"/>
    <n v="7.0588085106382996"/>
    <n v="78.9914285714286"/>
  </r>
  <r>
    <s v="CMP0258"/>
    <d v="2025-03-09T00:00:00"/>
    <s v="Search"/>
    <x v="2"/>
    <n v="1789.2"/>
    <n v="221"/>
    <n v="73"/>
    <n v="2025"/>
    <x v="4"/>
    <n v="0.33031674208144801"/>
    <s v="High"/>
    <n v="8.0959276018099509"/>
    <n v="24.5095890410959"/>
  </r>
  <r>
    <s v="CMP0071"/>
    <d v="2026-02-06T00:00:00"/>
    <s v="Search"/>
    <x v="4"/>
    <n v="2206.5300000000002"/>
    <n v="239"/>
    <n v="52"/>
    <n v="2026"/>
    <x v="0"/>
    <n v="0.21757322175732199"/>
    <s v="High"/>
    <n v="9.2323430962343096"/>
    <n v="42.433269230769199"/>
  </r>
  <r>
    <s v="CMP0233"/>
    <d v="2025-05-03T00:00:00"/>
    <s v="Search"/>
    <x v="2"/>
    <n v="2558.88"/>
    <n v="239"/>
    <n v="64"/>
    <n v="2025"/>
    <x v="2"/>
    <n v="0.26778242677824299"/>
    <s v="High"/>
    <n v="10.706610878661101"/>
    <n v="39.982500000000002"/>
  </r>
  <r>
    <s v="CMP0251"/>
    <d v="2025-10-11T00:00:00"/>
    <s v="Search"/>
    <x v="1"/>
    <n v="285.8"/>
    <n v="69"/>
    <n v="16"/>
    <n v="2025"/>
    <x v="10"/>
    <n v="0.231884057971015"/>
    <s v="High"/>
    <n v="4.1420289855072498"/>
    <n v="17.862500000000001"/>
  </r>
  <r>
    <s v="CMP0203"/>
    <d v="2025-10-11T00:00:00"/>
    <s v="Radio"/>
    <x v="4"/>
    <n v="4400.18"/>
    <n v="973"/>
    <n v="59"/>
    <n v="2025"/>
    <x v="10"/>
    <n v="6.0637204522096602E-2"/>
    <s v="Low"/>
    <n v="4.5222816032887998"/>
    <n v="74.579322033898293"/>
  </r>
  <r>
    <s v="CMP0097"/>
    <d v="2025-06-22T00:00:00"/>
    <s v="Search"/>
    <x v="4"/>
    <n v="405.35"/>
    <n v="51"/>
    <n v="12"/>
    <n v="2025"/>
    <x v="1"/>
    <n v="0.23529411764705899"/>
    <s v="High"/>
    <n v="7.94803921568628"/>
    <n v="33.779166666666697"/>
  </r>
  <r>
    <s v="CMP0130"/>
    <d v="2025-11-25T00:00:00"/>
    <s v="Radio"/>
    <x v="2"/>
    <n v="2575.3200000000002"/>
    <n v="228"/>
    <n v="28"/>
    <n v="2025"/>
    <x v="11"/>
    <n v="0.12280701754386"/>
    <s v="Low"/>
    <n v="11.2952631578947"/>
    <n v="91.975714285714304"/>
  </r>
  <r>
    <s v="CMP0150"/>
    <d v="2025-09-12T00:00:00"/>
    <s v="Search"/>
    <x v="0"/>
    <n v="4144.67"/>
    <n v="426"/>
    <n v="185"/>
    <n v="2025"/>
    <x v="8"/>
    <n v="0.43427230046948401"/>
    <s v="High"/>
    <n v="9.7292723004694803"/>
    <n v="22.4036216216216"/>
  </r>
  <r>
    <s v="NEW0012"/>
    <d v="2025-11-24T00:00:00"/>
    <s v="Search"/>
    <x v="2"/>
    <n v="1564.78"/>
    <n v="365"/>
    <n v="105"/>
    <n v="2025"/>
    <x v="11"/>
    <n v="0.28767123287671198"/>
    <s v="High"/>
    <n v="4.2870684931506897"/>
    <n v="14.9026666666667"/>
  </r>
  <r>
    <s v="CMP0151"/>
    <d v="2026-07-12T00:00:00"/>
    <s v="Radio"/>
    <x v="0"/>
    <n v="3332.51"/>
    <n v="781"/>
    <n v="107"/>
    <n v="2026"/>
    <x v="9"/>
    <n v="0.13700384122919301"/>
    <s v="Low"/>
    <n v="4.2669782330345702"/>
    <n v="31.144953271028001"/>
  </r>
  <r>
    <s v="CMP0067"/>
    <d v="2025-02-04T00:00:00"/>
    <s v="Search"/>
    <x v="1"/>
    <n v="3849.68"/>
    <n v="650"/>
    <n v="159"/>
    <n v="2025"/>
    <x v="0"/>
    <n v="0.24461538461538501"/>
    <s v="High"/>
    <n v="5.9225846153846202"/>
    <n v="24.211823899371101"/>
  </r>
  <r>
    <s v="CMP0079"/>
    <d v="2025-04-30T00:00:00"/>
    <s v="Search"/>
    <x v="6"/>
    <n v="1025.83"/>
    <n v="98"/>
    <n v="26"/>
    <n v="2025"/>
    <x v="5"/>
    <n v="0.26530612244898"/>
    <s v="High"/>
    <n v="10.4676530612245"/>
    <n v="39.454999999999998"/>
  </r>
  <r>
    <s v="CMP0009"/>
    <d v="2025-06-28T00:00:00"/>
    <s v="Email"/>
    <x v="2"/>
    <n v="2097.84"/>
    <n v="308"/>
    <n v="81"/>
    <n v="2025"/>
    <x v="1"/>
    <n v="0.26298701298701299"/>
    <s v="High"/>
    <n v="6.8111688311688301"/>
    <n v="25.899259259259299"/>
  </r>
  <r>
    <s v="CMP0135"/>
    <d v="2026-07-02T00:00:00"/>
    <s v="Email"/>
    <x v="0"/>
    <n v="614.20000000000005"/>
    <n v="426"/>
    <n v="24"/>
    <n v="2026"/>
    <x v="9"/>
    <n v="5.63380281690141E-2"/>
    <s v="Low"/>
    <n v="1.4417840375586899"/>
    <n v="25.591666666666701"/>
  </r>
  <r>
    <s v="CMP0221"/>
    <d v="2025-09-23T00:00:00"/>
    <s v="Search"/>
    <x v="0"/>
    <n v="260.11"/>
    <n v="48"/>
    <n v="48"/>
    <n v="2025"/>
    <x v="8"/>
    <n v="1"/>
    <s v="High"/>
    <n v="5.4189583333333298"/>
    <n v="5.4189583333333298"/>
  </r>
  <r>
    <s v="CMP0136"/>
    <d v="2026-06-30T00:00:00"/>
    <s v="Social Media"/>
    <x v="1"/>
    <n v="4747.93"/>
    <n v="1026"/>
    <n v="112"/>
    <n v="2026"/>
    <x v="1"/>
    <n v="0.10916179337232"/>
    <s v="Low"/>
    <n v="4.6276120857699796"/>
    <n v="42.392232142857203"/>
  </r>
  <r>
    <s v="CMP0117"/>
    <d v="2025-12-29T00:00:00"/>
    <s v="Radio"/>
    <x v="0"/>
    <n v="4762.8900000000003"/>
    <n v="976"/>
    <n v="131"/>
    <n v="2025"/>
    <x v="3"/>
    <n v="0.13422131147541"/>
    <s v="Low"/>
    <n v="4.8800102459016399"/>
    <n v="36.357938931297703"/>
  </r>
  <r>
    <s v="CMP0265"/>
    <d v="2026-04-01T00:00:00"/>
    <s v="Search"/>
    <x v="0"/>
    <n v="2584.02"/>
    <n v="362"/>
    <n v="97"/>
    <n v="2026"/>
    <x v="5"/>
    <n v="0.26795580110497202"/>
    <s v="High"/>
    <n v="7.1381767955801099"/>
    <n v="26.639381443299001"/>
  </r>
  <r>
    <s v="CMP0065"/>
    <d v="2026-03-31T00:00:00"/>
    <s v="Email"/>
    <x v="6"/>
    <n v="4009.21"/>
    <n v="513"/>
    <n v="143"/>
    <n v="2026"/>
    <x v="4"/>
    <n v="0.27875243664717397"/>
    <s v="High"/>
    <n v="7.8152241715399597"/>
    <n v="28.036433566433601"/>
  </r>
  <r>
    <s v="CMP0247"/>
    <d v="2026-07-06T00:00:00"/>
    <s v="Radio"/>
    <x v="3"/>
    <n v="1877.5"/>
    <n v="306"/>
    <n v="41"/>
    <n v="2026"/>
    <x v="9"/>
    <n v="0.13398692810457499"/>
    <s v="Low"/>
    <n v="6.1356209150326801"/>
    <n v="45.792682926829301"/>
  </r>
  <r>
    <s v="CMP0199"/>
    <d v="2025-08-09T00:00:00"/>
    <s v="Radio"/>
    <x v="1"/>
    <n v="1584.15"/>
    <n v="220"/>
    <n v="32"/>
    <n v="2025"/>
    <x v="6"/>
    <n v="0.145454545454545"/>
    <s v="Low"/>
    <n v="7.2006818181818204"/>
    <n v="49.504687500000003"/>
  </r>
  <r>
    <s v="CMP0016"/>
    <d v="2025-10-09T00:00:00"/>
    <s v="Search"/>
    <x v="2"/>
    <n v="1442.63"/>
    <n v="426"/>
    <n v="52"/>
    <n v="2025"/>
    <x v="10"/>
    <n v="0.122065727699531"/>
    <s v="Low"/>
    <n v="3.3864553990610302"/>
    <n v="27.7428846153846"/>
  </r>
  <r>
    <s v="CMP0020"/>
    <d v="2025-11-27T00:00:00"/>
    <s v="Social Media"/>
    <x v="3"/>
    <n v="3928.3"/>
    <n v="951"/>
    <n v="145"/>
    <n v="2025"/>
    <x v="11"/>
    <n v="0.15247108307045201"/>
    <s v="Low"/>
    <n v="4.1307045215562601"/>
    <n v="27.091724137930999"/>
  </r>
  <r>
    <s v="CMP0171"/>
    <d v="2026-05-02T00:00:00"/>
    <s v="Influencer"/>
    <x v="2"/>
    <n v="348.31"/>
    <n v="34"/>
    <n v="7"/>
    <n v="2026"/>
    <x v="2"/>
    <n v="0.20588235294117699"/>
    <s v="High"/>
    <n v="10.2444117647059"/>
    <n v="49.7585714285714"/>
  </r>
  <r>
    <s v="CMP0062"/>
    <d v="2026-04-03T00:00:00"/>
    <s v="Email"/>
    <x v="2"/>
    <n v="4826.55"/>
    <n v="1104"/>
    <n v="238"/>
    <n v="2026"/>
    <x v="5"/>
    <n v="0.21557971014492799"/>
    <s v="High"/>
    <n v="4.3718750000000002"/>
    <n v="20.279621848739499"/>
  </r>
  <r>
    <s v="CMP0263"/>
    <d v="2026-03-24T00:00:00"/>
    <s v="Email"/>
    <x v="6"/>
    <n v="753.03"/>
    <n v="100"/>
    <n v="28"/>
    <n v="2026"/>
    <x v="4"/>
    <n v="0.28000000000000003"/>
    <s v="High"/>
    <n v="7.5303000000000004"/>
    <n v="26.893928571428599"/>
  </r>
  <r>
    <s v="CMP0019"/>
    <d v="2025-09-10T00:00:00"/>
    <s v="Influencer"/>
    <x v="0"/>
    <n v="4334.1899999999996"/>
    <n v="584"/>
    <n v="73"/>
    <n v="2025"/>
    <x v="8"/>
    <n v="0.125"/>
    <s v="Low"/>
    <n v="7.4215582191780802"/>
    <n v="59.372465753424699"/>
  </r>
  <r>
    <s v="CMP0059"/>
    <d v="2025-10-29T00:00:00"/>
    <s v="Search"/>
    <x v="5"/>
    <n v="4216.49"/>
    <n v="1050"/>
    <n v="265"/>
    <n v="2025"/>
    <x v="10"/>
    <n v="0.25238095238095198"/>
    <s v="High"/>
    <n v="4.0157047619047601"/>
    <n v="15.9112830188679"/>
  </r>
  <r>
    <s v="CMP0143"/>
    <d v="2025-05-30T00:00:00"/>
    <s v="Search"/>
    <x v="0"/>
    <n v="2326.2600000000002"/>
    <n v="516"/>
    <n v="144"/>
    <n v="2025"/>
    <x v="2"/>
    <n v="0.27906976744186102"/>
    <s v="High"/>
    <n v="4.5082558139534896"/>
    <n v="16.154583333333299"/>
  </r>
  <r>
    <s v="CMP0044"/>
    <d v="2025-05-08T00:00:00"/>
    <s v="Influencer"/>
    <x v="3"/>
    <n v="301.43"/>
    <n v="43"/>
    <n v="8"/>
    <n v="2025"/>
    <x v="2"/>
    <n v="0.186046511627907"/>
    <s v="Low"/>
    <n v="7.01"/>
    <n v="37.678750000000001"/>
  </r>
  <r>
    <s v="CMP0068"/>
    <d v="2025-02-21T00:00:00"/>
    <s v="Radio"/>
    <x v="1"/>
    <n v="4745.71"/>
    <n v="825"/>
    <n v="114"/>
    <n v="2025"/>
    <x v="0"/>
    <n v="0.13818181818181799"/>
    <s v="Low"/>
    <n v="5.7523757575757601"/>
    <n v="41.629035087719302"/>
  </r>
  <r>
    <s v="CMP0220"/>
    <d v="2026-02-17T00:00:00"/>
    <s v="Social Media"/>
    <x v="0"/>
    <n v="1644.74"/>
    <n v="381"/>
    <n v="46"/>
    <n v="2026"/>
    <x v="0"/>
    <n v="0.12073490813648299"/>
    <s v="Low"/>
    <n v="4.3169028871391104"/>
    <n v="35.755217391304399"/>
  </r>
  <r>
    <s v="CMP0168"/>
    <d v="2026-06-03T00:00:00"/>
    <s v="Email"/>
    <x v="3"/>
    <n v="1125.1600000000001"/>
    <n v="131"/>
    <n v="25"/>
    <n v="2026"/>
    <x v="1"/>
    <n v="0.19083969465648901"/>
    <s v="High"/>
    <n v="8.5890076335877907"/>
    <n v="45.006399999999999"/>
  </r>
  <r>
    <s v="CMP0057"/>
    <d v="2025-12-20T00:00:00"/>
    <s v="Social Media"/>
    <x v="5"/>
    <n v="4825.67"/>
    <n v="468"/>
    <n v="73"/>
    <n v="2025"/>
    <x v="3"/>
    <n v="0.15598290598290601"/>
    <s v="Low"/>
    <n v="10.3112606837607"/>
    <n v="66.105068493150696"/>
  </r>
  <r>
    <s v="CMP0267"/>
    <d v="2026-01-15T00:00:00"/>
    <s v="Social Media"/>
    <x v="3"/>
    <n v="3047.74"/>
    <n v="711"/>
    <n v="153"/>
    <n v="2026"/>
    <x v="7"/>
    <n v="0.215189873417722"/>
    <s v="High"/>
    <n v="4.2865541490857897"/>
    <n v="19.919869281045798"/>
  </r>
  <r>
    <s v="CMP0138"/>
    <d v="2026-01-29T00:00:00"/>
    <s v="Social Media"/>
    <x v="3"/>
    <n v="475.03"/>
    <n v="70"/>
    <n v="12"/>
    <n v="2026"/>
    <x v="7"/>
    <n v="0.17142857142857101"/>
    <s v="Low"/>
    <n v="6.7861428571428597"/>
    <n v="39.585833333333298"/>
  </r>
  <r>
    <s v="CMP0161"/>
    <d v="2025-03-29T00:00:00"/>
    <s v="Radio"/>
    <x v="2"/>
    <n v="4021.93"/>
    <n v="426"/>
    <n v="37"/>
    <n v="2025"/>
    <x v="4"/>
    <n v="8.6854460093896704E-2"/>
    <s v="Low"/>
    <n v="9.4411502347417802"/>
    <n v="108.70081081081101"/>
  </r>
  <r>
    <s v="CMP0029"/>
    <d v="2026-05-06T00:00:00"/>
    <s v="Search"/>
    <x v="3"/>
    <n v="1235.7"/>
    <n v="130"/>
    <n v="26"/>
    <n v="2026"/>
    <x v="2"/>
    <n v="0.2"/>
    <s v="High"/>
    <n v="9.5053846153846209"/>
    <n v="47.526923076923097"/>
  </r>
  <r>
    <s v="NEW0013"/>
    <d v="2025-12-07T00:00:00"/>
    <s v="Social Media"/>
    <x v="5"/>
    <n v="1206.3900000000001"/>
    <n v="151"/>
    <n v="7"/>
    <n v="2025"/>
    <x v="3"/>
    <n v="4.6357615894039701E-2"/>
    <s v="Low"/>
    <n v="7.9893377483443704"/>
    <n v="172.34142857142899"/>
  </r>
  <r>
    <s v="CMP0229"/>
    <d v="2025-10-11T00:00:00"/>
    <s v="Radio"/>
    <x v="0"/>
    <n v="4638.09"/>
    <n v="767"/>
    <n v="84"/>
    <n v="2025"/>
    <x v="10"/>
    <n v="0.10951760104302501"/>
    <s v="Low"/>
    <n v="6.0470534550195598"/>
    <n v="55.215357142857101"/>
  </r>
  <r>
    <s v="CMP0287"/>
    <d v="2025-09-23T00:00:00"/>
    <s v="Email"/>
    <x v="2"/>
    <n v="4926.28"/>
    <n v="844"/>
    <n v="73"/>
    <n v="2025"/>
    <x v="8"/>
    <n v="8.6492890995260696E-2"/>
    <s v="Low"/>
    <n v="5.8368246445497602"/>
    <n v="67.483287671232901"/>
  </r>
  <r>
    <s v="CMP0197"/>
    <d v="2025-09-08T00:00:00"/>
    <s v="Influencer"/>
    <x v="5"/>
    <n v="2610.06"/>
    <n v="267"/>
    <n v="51"/>
    <n v="2025"/>
    <x v="8"/>
    <n v="0.19101123595505601"/>
    <s v="High"/>
    <n v="9.7755056179775295"/>
    <n v="51.177647058823503"/>
  </r>
  <r>
    <s v="CMP0274"/>
    <d v="2025-05-15T00:00:00"/>
    <s v="Search"/>
    <x v="0"/>
    <n v="1819.43"/>
    <n v="361"/>
    <n v="93"/>
    <n v="2025"/>
    <x v="2"/>
    <n v="0.25761772853185599"/>
    <s v="High"/>
    <n v="5.0399722991689799"/>
    <n v="19.5637634408602"/>
  </r>
  <r>
    <s v="CMP0156"/>
    <d v="2025-12-22T00:00:00"/>
    <s v="Social Media"/>
    <x v="5"/>
    <n v="3457.13"/>
    <n v="434"/>
    <n v="110"/>
    <n v="2025"/>
    <x v="3"/>
    <n v="0.25345622119815697"/>
    <s v="High"/>
    <n v="7.9657373271889398"/>
    <n v="31.428454545454599"/>
  </r>
  <r>
    <s v="CMP0084"/>
    <d v="2026-04-21T00:00:00"/>
    <s v="Radio"/>
    <x v="2"/>
    <n v="3465.97"/>
    <n v="304"/>
    <n v="35"/>
    <n v="2026"/>
    <x v="5"/>
    <n v="0.115131578947368"/>
    <s v="Low"/>
    <n v="11.4012171052632"/>
    <n v="99.027714285714296"/>
  </r>
  <r>
    <s v="CMP0002"/>
    <d v="2026-06-25T00:00:00"/>
    <s v="Radio"/>
    <x v="4"/>
    <n v="387.93"/>
    <n v="95"/>
    <n v="73"/>
    <n v="2026"/>
    <x v="1"/>
    <n v="0.768421052631579"/>
    <s v="High"/>
    <n v="4.0834736842105297"/>
    <n v="5.3141095890410996"/>
  </r>
  <r>
    <s v="CMP0289"/>
    <d v="2026-03-08T00:00:00"/>
    <s v="Radio"/>
    <x v="2"/>
    <n v="2869.4949999999999"/>
    <n v="461"/>
    <n v="32"/>
    <n v="2026"/>
    <x v="4"/>
    <n v="6.941431670282E-2"/>
    <s v="Low"/>
    <n v="6.2245010845986997"/>
    <n v="89.671718749999997"/>
  </r>
  <r>
    <s v="CMP0063"/>
    <d v="2025-10-11T00:00:00"/>
    <s v="Social Media"/>
    <x v="2"/>
    <n v="4350.93"/>
    <n v="402"/>
    <n v="71"/>
    <n v="2025"/>
    <x v="10"/>
    <n v="0.17661691542288599"/>
    <s v="Low"/>
    <n v="10.823208955223899"/>
    <n v="61.280704225352103"/>
  </r>
  <r>
    <s v="CMP0196"/>
    <d v="2026-03-31T00:00:00"/>
    <s v="Search"/>
    <x v="5"/>
    <n v="4054.96"/>
    <n v="628"/>
    <n v="132"/>
    <n v="2026"/>
    <x v="4"/>
    <n v="0.210191082802548"/>
    <s v="High"/>
    <n v="6.4569426751592403"/>
    <n v="30.7193939393939"/>
  </r>
  <r>
    <s v="CMP0292"/>
    <d v="2025-10-05T00:00:00"/>
    <s v="Social Media"/>
    <x v="2"/>
    <n v="1073.1400000000001"/>
    <n v="245"/>
    <n v="45"/>
    <n v="2025"/>
    <x v="10"/>
    <n v="0.183673469387755"/>
    <s v="Low"/>
    <n v="4.3801632653061198"/>
    <n v="23.847555555555601"/>
  </r>
  <r>
    <s v="CMP0046"/>
    <d v="2025-07-06T00:00:00"/>
    <s v="Social Media"/>
    <x v="1"/>
    <n v="4476.0600000000004"/>
    <n v="464"/>
    <n v="69"/>
    <n v="2025"/>
    <x v="9"/>
    <n v="0.148706896551724"/>
    <s v="Low"/>
    <n v="9.6466810344827607"/>
    <n v="64.870434782608697"/>
  </r>
  <r>
    <s v="CMP0248"/>
    <d v="2025-11-13T00:00:00"/>
    <s v="Social Media"/>
    <x v="6"/>
    <n v="1387.4"/>
    <n v="215"/>
    <n v="24"/>
    <n v="2025"/>
    <x v="11"/>
    <n v="0.111627906976744"/>
    <s v="Low"/>
    <n v="6.4530232558139504"/>
    <n v="57.808333333333302"/>
  </r>
  <r>
    <s v="CMP0114"/>
    <d v="2026-01-30T00:00:00"/>
    <s v="Radio"/>
    <x v="0"/>
    <n v="4953.63"/>
    <n v="768"/>
    <n v="163"/>
    <n v="2026"/>
    <x v="7"/>
    <n v="0.21223958333333301"/>
    <s v="High"/>
    <n v="6.4500390625000001"/>
    <n v="30.390368098159499"/>
  </r>
  <r>
    <s v="NEW0014"/>
    <d v="2025-10-11T00:00:00"/>
    <s v="Social Media"/>
    <x v="2"/>
    <n v="500.84"/>
    <n v="88"/>
    <n v="19"/>
    <n v="2025"/>
    <x v="10"/>
    <n v="0.21590909090909099"/>
    <s v="High"/>
    <n v="5.69136363636364"/>
    <n v="26.36"/>
  </r>
  <r>
    <s v="CMP0131"/>
    <d v="2025-03-28T00:00:00"/>
    <s v="Social Media"/>
    <x v="0"/>
    <n v="2766.4"/>
    <n v="595"/>
    <n v="62"/>
    <n v="2025"/>
    <x v="4"/>
    <n v="0.104201680672269"/>
    <s v="Low"/>
    <n v="4.6494117647058797"/>
    <n v="44.619354838709697"/>
  </r>
  <r>
    <s v="CMP0177"/>
    <d v="2026-07-24T00:00:00"/>
    <s v="Influencer"/>
    <x v="4"/>
    <n v="3691.38"/>
    <n v="458"/>
    <n v="73"/>
    <n v="2026"/>
    <x v="9"/>
    <n v="0.15938864628821001"/>
    <s v="Low"/>
    <n v="8.0597816593886495"/>
    <n v="50.566849315068502"/>
  </r>
  <r>
    <s v="CMP0111"/>
    <d v="2025-07-16T00:00:00"/>
    <s v="Search"/>
    <x v="2"/>
    <n v="4771.6099999999997"/>
    <n v="587"/>
    <n v="146"/>
    <n v="2025"/>
    <x v="9"/>
    <n v="0.24872231686541699"/>
    <s v="High"/>
    <n v="8.1288074957410608"/>
    <n v="32.682260273972602"/>
  </r>
  <r>
    <s v="CMP0091"/>
    <d v="2026-03-22T00:00:00"/>
    <s v="Social Media"/>
    <x v="0"/>
    <n v="3580.32"/>
    <n v="327"/>
    <n v="53"/>
    <n v="2026"/>
    <x v="4"/>
    <n v="0.16207951070336399"/>
    <s v="Low"/>
    <n v="10.948990825688099"/>
    <n v="67.553207547169805"/>
  </r>
  <r>
    <s v="CMP0104"/>
    <d v="2026-06-03T00:00:00"/>
    <s v="Search"/>
    <x v="0"/>
    <n v="2221.84"/>
    <n v="426"/>
    <n v="108"/>
    <n v="2026"/>
    <x v="1"/>
    <n v="0.25352112676056299"/>
    <s v="High"/>
    <n v="5.2155868544600903"/>
    <n v="20.572592592592599"/>
  </r>
  <r>
    <s v="CMP0218"/>
    <d v="2026-01-29T00:00:00"/>
    <s v="Social Media"/>
    <x v="0"/>
    <n v="3374.99"/>
    <n v="583"/>
    <n v="103"/>
    <n v="2026"/>
    <x v="7"/>
    <n v="0.176672384219554"/>
    <s v="Low"/>
    <n v="5.7890051457976002"/>
    <n v="32.766893203883498"/>
  </r>
  <r>
    <s v="CMP0122"/>
    <d v="2025-10-11T00:00:00"/>
    <s v="Social Media"/>
    <x v="1"/>
    <n v="401.73"/>
    <n v="87"/>
    <n v="10"/>
    <n v="2025"/>
    <x v="10"/>
    <n v="0.114942528735632"/>
    <s v="Low"/>
    <n v="4.6175862068965499"/>
    <n v="40.173000000000002"/>
  </r>
  <r>
    <s v="CMP0055"/>
    <d v="2026-07-14T00:00:00"/>
    <s v="Search"/>
    <x v="6"/>
    <n v="4178.66"/>
    <n v="776"/>
    <n v="206"/>
    <n v="2026"/>
    <x v="9"/>
    <n v="0.26546391752577297"/>
    <s v="High"/>
    <n v="5.3848711340206199"/>
    <n v="20.2847572815534"/>
  </r>
  <r>
    <s v="CMP0157"/>
    <d v="2025-08-07T00:00:00"/>
    <s v="Email"/>
    <x v="5"/>
    <n v="3217.76"/>
    <n v="498"/>
    <n v="120"/>
    <n v="2025"/>
    <x v="6"/>
    <n v="0.240963855421687"/>
    <s v="High"/>
    <n v="6.4613654618473904"/>
    <n v="26.8146666666667"/>
  </r>
  <r>
    <s v="NEW0015"/>
    <d v="2026-05-16T00:00:00"/>
    <s v="Social Media"/>
    <x v="0"/>
    <n v="295.8"/>
    <n v="67"/>
    <n v="7"/>
    <n v="2026"/>
    <x v="2"/>
    <n v="0.104477611940299"/>
    <s v="Low"/>
    <n v="4.4149253731343299"/>
    <n v="42.257142857142902"/>
  </r>
  <r>
    <s v="CMP0038"/>
    <d v="2025-03-22T00:00:00"/>
    <s v="Social Media"/>
    <x v="0"/>
    <n v="2647.13"/>
    <n v="426"/>
    <n v="100"/>
    <n v="2025"/>
    <x v="4"/>
    <n v="0.23474178403755899"/>
    <s v="High"/>
    <n v="6.2139201877934296"/>
    <n v="26.471299999999999"/>
  </r>
  <r>
    <s v="CMP0025"/>
    <d v="2025-04-20T00:00:00"/>
    <s v="Influencer"/>
    <x v="4"/>
    <n v="3810.3"/>
    <n v="623"/>
    <n v="73"/>
    <n v="2025"/>
    <x v="5"/>
    <n v="0.117174959871589"/>
    <s v="Low"/>
    <n v="6.11605136436597"/>
    <n v="52.195890410958903"/>
  </r>
  <r>
    <s v="CMP0219"/>
    <d v="2025-02-04T00:00:00"/>
    <s v="Search"/>
    <x v="0"/>
    <n v="4224.63"/>
    <n v="618"/>
    <n v="118"/>
    <n v="2025"/>
    <x v="0"/>
    <n v="0.19093851132686099"/>
    <s v="High"/>
    <n v="6.83597087378641"/>
    <n v="35.801949152542399"/>
  </r>
  <r>
    <s v="CMP0012"/>
    <d v="2025-05-25T00:00:00"/>
    <s v="Social Media"/>
    <x v="3"/>
    <n v="2109.1799999999998"/>
    <n v="251"/>
    <n v="34"/>
    <n v="2025"/>
    <x v="2"/>
    <n v="0.135458167330677"/>
    <s v="Low"/>
    <n v="8.4031075697211204"/>
    <n v="62.034705882352903"/>
  </r>
  <r>
    <s v="CMP0280"/>
    <d v="2026-03-07T00:00:00"/>
    <s v="Search"/>
    <x v="1"/>
    <n v="1119.6500000000001"/>
    <n v="166"/>
    <n v="30"/>
    <n v="2026"/>
    <x v="4"/>
    <n v="0.180722891566265"/>
    <s v="Low"/>
    <n v="6.74487951807229"/>
    <n v="37.321666666666701"/>
  </r>
  <r>
    <s v="CMP0162"/>
    <d v="2025-03-10T00:00:00"/>
    <s v="Social Media"/>
    <x v="6"/>
    <n v="1486.45"/>
    <n v="271"/>
    <n v="53"/>
    <n v="2025"/>
    <x v="4"/>
    <n v="0.19557195571955699"/>
    <s v="High"/>
    <n v="5.4850553505535098"/>
    <n v="28.046226415094299"/>
  </r>
  <r>
    <s v="CMP0222"/>
    <d v="2026-07-23T00:00:00"/>
    <s v="Radio"/>
    <x v="0"/>
    <n v="609.80999999999995"/>
    <n v="426"/>
    <n v="4"/>
    <n v="2026"/>
    <x v="9"/>
    <n v="9.3896713615023494E-3"/>
    <s v="Low"/>
    <n v="1.4314788732394399"/>
    <n v="152.45249999999999"/>
  </r>
  <r>
    <s v="CMP0142"/>
    <d v="2025-06-23T00:00:00"/>
    <s v="Social Media"/>
    <x v="3"/>
    <n v="4216.83"/>
    <n v="508"/>
    <n v="70"/>
    <n v="2025"/>
    <x v="1"/>
    <n v="0.13779527559055099"/>
    <s v="Low"/>
    <n v="8.3008464566929092"/>
    <n v="60.240428571428602"/>
  </r>
  <r>
    <s v="CMP0027"/>
    <d v="2025-07-27T00:00:00"/>
    <s v="Search"/>
    <x v="6"/>
    <n v="3178.53"/>
    <n v="345"/>
    <n v="73"/>
    <n v="2025"/>
    <x v="9"/>
    <n v="0.21159420289855099"/>
    <s v="High"/>
    <n v="9.2131304347826095"/>
    <n v="43.541506849315098"/>
  </r>
  <r>
    <s v="CMP0175"/>
    <d v="2025-12-12T00:00:00"/>
    <s v="Search"/>
    <x v="0"/>
    <n v="4635.24"/>
    <n v="886"/>
    <n v="199"/>
    <n v="2025"/>
    <x v="3"/>
    <n v="0.22460496613995501"/>
    <s v="High"/>
    <n v="5.2316478555304702"/>
    <n v="23.2926633165829"/>
  </r>
  <r>
    <s v="CMP0149"/>
    <d v="2026-04-15T00:00:00"/>
    <s v="Email"/>
    <x v="6"/>
    <n v="2436.4299999999998"/>
    <n v="554"/>
    <n v="141"/>
    <n v="2026"/>
    <x v="5"/>
    <n v="0.25451263537906099"/>
    <s v="High"/>
    <n v="4.3978880866425998"/>
    <n v="17.2796453900709"/>
  </r>
  <r>
    <s v="CMP0277"/>
    <d v="2025-03-04T00:00:00"/>
    <s v="Social Media"/>
    <x v="5"/>
    <n v="3342.91"/>
    <n v="599"/>
    <n v="124"/>
    <n v="2025"/>
    <x v="4"/>
    <n v="0.20701168614357299"/>
    <s v="High"/>
    <n v="5.5808180300500796"/>
    <n v="26.958951612903199"/>
  </r>
  <r>
    <s v="CMP0006"/>
    <d v="2025-12-16T00:00:00"/>
    <s v="Social Media"/>
    <x v="0"/>
    <n v="2877.39"/>
    <n v="463"/>
    <n v="73"/>
    <n v="2025"/>
    <x v="3"/>
    <n v="0.15766738660907101"/>
    <s v="Low"/>
    <n v="6.2146652267818601"/>
    <n v="39.416301369863"/>
  </r>
  <r>
    <s v="CMP0226"/>
    <d v="2025-03-11T00:00:00"/>
    <s v="Radio"/>
    <x v="6"/>
    <n v="3509.09"/>
    <n v="714"/>
    <n v="42"/>
    <n v="2025"/>
    <x v="4"/>
    <n v="5.8823529411764698E-2"/>
    <s v="Low"/>
    <n v="4.9146918767507"/>
    <n v="83.549761904761894"/>
  </r>
  <r>
    <s v="CMP0209"/>
    <d v="2026-07-12T00:00:00"/>
    <s v="Email"/>
    <x v="2"/>
    <n v="3794.91"/>
    <n v="442"/>
    <n v="77"/>
    <n v="2026"/>
    <x v="9"/>
    <n v="0.17420814479638"/>
    <s v="Low"/>
    <n v="8.5857692307692304"/>
    <n v="49.284545454545501"/>
  </r>
  <r>
    <s v="CMP0037"/>
    <d v="2025-08-18T00:00:00"/>
    <s v="Influencer"/>
    <x v="3"/>
    <n v="4177.41"/>
    <n v="427"/>
    <n v="69"/>
    <n v="2025"/>
    <x v="6"/>
    <n v="0.16159250585480101"/>
    <s v="Low"/>
    <n v="9.7831615925058504"/>
    <n v="60.5421739130434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CMP0268"/>
    <d v="2026-02-24T00:00:00"/>
    <x v="0"/>
    <x v="0"/>
    <n v="1902.8"/>
    <n v="258"/>
    <n v="58"/>
    <x v="0"/>
    <n v="2"/>
    <n v="0.224806201550388"/>
    <s v="High"/>
    <n v="7.3751937984496099"/>
    <n v="32.806896551724101"/>
  </r>
  <r>
    <s v="CMP0077"/>
    <d v="2026-06-13T00:00:00"/>
    <x v="1"/>
    <x v="0"/>
    <n v="2408.15"/>
    <n v="408"/>
    <n v="89"/>
    <x v="0"/>
    <n v="6"/>
    <n v="0.21813725490196101"/>
    <s v="High"/>
    <n v="5.9023284313725499"/>
    <n v="27.057865168539301"/>
  </r>
  <r>
    <s v="CMP0207"/>
    <d v="2026-05-11T00:00:00"/>
    <x v="1"/>
    <x v="1"/>
    <n v="2635.33"/>
    <n v="573"/>
    <n v="100"/>
    <x v="0"/>
    <n v="5"/>
    <n v="0.17452006980802801"/>
    <s v="Low"/>
    <n v="4.5991797556718996"/>
    <n v="26.353300000000001"/>
  </r>
  <r>
    <s v="NEW0001"/>
    <d v="2025-12-14T00:00:00"/>
    <x v="2"/>
    <x v="1"/>
    <n v="3036.06"/>
    <n v="350"/>
    <n v="61"/>
    <x v="1"/>
    <n v="12"/>
    <n v="0.17428571428571399"/>
    <s v="Low"/>
    <n v="8.6744571428571398"/>
    <n v="49.7714754098361"/>
  </r>
  <r>
    <s v="CMP0089"/>
    <d v="2025-03-16T00:00:00"/>
    <x v="2"/>
    <x v="2"/>
    <n v="4857.8900000000003"/>
    <n v="742"/>
    <n v="131"/>
    <x v="1"/>
    <n v="3"/>
    <n v="0.17654986522911101"/>
    <s v="Low"/>
    <n v="6.5470215633423203"/>
    <n v="37.0831297709924"/>
  </r>
  <r>
    <s v="CMP0098"/>
    <d v="2025-04-25T00:00:00"/>
    <x v="3"/>
    <x v="3"/>
    <n v="2904.04"/>
    <n v="2013"/>
    <n v="81"/>
    <x v="1"/>
    <n v="4"/>
    <n v="4.0238450074515701E-2"/>
    <s v="Low"/>
    <n v="1.44264282165922"/>
    <n v="35.852345679012302"/>
  </r>
  <r>
    <s v="CMP0206"/>
    <d v="2026-06-12T00:00:00"/>
    <x v="0"/>
    <x v="4"/>
    <n v="518.97"/>
    <n v="101"/>
    <n v="20"/>
    <x v="0"/>
    <n v="6"/>
    <n v="0.198019801980198"/>
    <s v="High"/>
    <n v="5.13831683168317"/>
    <n v="25.948499999999999"/>
  </r>
  <r>
    <s v="CMP0094"/>
    <d v="2026-05-04T00:00:00"/>
    <x v="3"/>
    <x v="2"/>
    <n v="3151.53"/>
    <n v="510"/>
    <n v="74"/>
    <x v="0"/>
    <n v="5"/>
    <n v="0.14509803921568601"/>
    <s v="Low"/>
    <n v="6.1794705882352901"/>
    <n v="42.588243243243298"/>
  </r>
  <r>
    <s v="CMP0270"/>
    <d v="2026-03-12T00:00:00"/>
    <x v="4"/>
    <x v="1"/>
    <n v="2558.6"/>
    <n v="542"/>
    <n v="109"/>
    <x v="0"/>
    <n v="3"/>
    <n v="0.201107011070111"/>
    <s v="High"/>
    <n v="4.7206642066420699"/>
    <n v="23.473394495412801"/>
  </r>
  <r>
    <s v="CMP0132"/>
    <d v="2025-08-17T00:00:00"/>
    <x v="0"/>
    <x v="4"/>
    <n v="2993.64"/>
    <n v="602"/>
    <n v="170"/>
    <x v="1"/>
    <n v="8"/>
    <n v="0.282392026578073"/>
    <s v="High"/>
    <n v="4.97282392026578"/>
    <n v="17.609647058823501"/>
  </r>
  <r>
    <s v="CMP0169"/>
    <d v="2025-04-10T00:00:00"/>
    <x v="2"/>
    <x v="2"/>
    <n v="3988.62"/>
    <n v="656"/>
    <n v="121"/>
    <x v="1"/>
    <n v="4"/>
    <n v="0.18445121951219501"/>
    <s v="Low"/>
    <n v="6.0802134146341498"/>
    <n v="32.963801652892599"/>
  </r>
  <r>
    <s v="CMP0082"/>
    <d v="2025-08-19T00:00:00"/>
    <x v="0"/>
    <x v="3"/>
    <n v="4275.45"/>
    <n v="604"/>
    <n v="169"/>
    <x v="1"/>
    <n v="8"/>
    <n v="0.27980132450331102"/>
    <s v="High"/>
    <n v="7.0785596026490101"/>
    <n v="25.298520710059201"/>
  </r>
  <r>
    <s v="CMP0179"/>
    <d v="2026-05-02T00:00:00"/>
    <x v="0"/>
    <x v="4"/>
    <n v="2086.02"/>
    <n v="273"/>
    <n v="88"/>
    <x v="0"/>
    <n v="5"/>
    <n v="0.32234432234432198"/>
    <s v="High"/>
    <n v="7.6410989010988999"/>
    <n v="23.704772727272701"/>
  </r>
  <r>
    <s v="CMP0083"/>
    <d v="2026-03-19T00:00:00"/>
    <x v="0"/>
    <x v="4"/>
    <n v="2263.59"/>
    <n v="309"/>
    <n v="69"/>
    <x v="0"/>
    <n v="3"/>
    <n v="0.223300970873786"/>
    <s v="High"/>
    <n v="7.3255339805825299"/>
    <n v="32.805652173913103"/>
  </r>
  <r>
    <s v="CMP0141"/>
    <d v="2025-08-19T00:00:00"/>
    <x v="0"/>
    <x v="4"/>
    <n v="2431.87"/>
    <n v="576"/>
    <n v="181"/>
    <x v="1"/>
    <n v="8"/>
    <n v="0.31423611111111099"/>
    <s v="High"/>
    <n v="4.2219965277777796"/>
    <n v="13.4357458563536"/>
  </r>
  <r>
    <s v="CMP0005"/>
    <d v="2025-01-24T00:00:00"/>
    <x v="0"/>
    <x v="0"/>
    <n v="2869.4949999999999"/>
    <n v="433"/>
    <n v="113"/>
    <x v="1"/>
    <n v="1"/>
    <n v="0.26096997690531198"/>
    <s v="High"/>
    <n v="6.6270092378752903"/>
    <n v="25.393761061946901"/>
  </r>
  <r>
    <s v="CMP0212"/>
    <d v="2025-09-03T00:00:00"/>
    <x v="1"/>
    <x v="0"/>
    <n v="3520.5"/>
    <n v="659"/>
    <n v="130"/>
    <x v="1"/>
    <n v="9"/>
    <n v="0.19726858877086501"/>
    <s v="High"/>
    <n v="5.34218512898331"/>
    <n v="27.080769230769199"/>
  </r>
  <r>
    <s v="CMP0049"/>
    <d v="2026-05-11T00:00:00"/>
    <x v="1"/>
    <x v="5"/>
    <n v="4913.8"/>
    <n v="799"/>
    <n v="60"/>
    <x v="0"/>
    <n v="5"/>
    <n v="7.5093867334167702E-2"/>
    <s v="Low"/>
    <n v="6.1499374217772198"/>
    <n v="81.896666666666704"/>
  </r>
  <r>
    <s v="CMP0281"/>
    <d v="2025-07-22T00:00:00"/>
    <x v="4"/>
    <x v="3"/>
    <n v="3753.98"/>
    <n v="334"/>
    <n v="55"/>
    <x v="1"/>
    <n v="7"/>
    <n v="0.164670658682635"/>
    <s v="Low"/>
    <n v="11.2394610778443"/>
    <n v="68.254181818181806"/>
  </r>
  <r>
    <s v="CMP0061"/>
    <d v="2025-10-25T00:00:00"/>
    <x v="0"/>
    <x v="0"/>
    <n v="457.9"/>
    <n v="42"/>
    <n v="10"/>
    <x v="1"/>
    <n v="10"/>
    <n v="0.238095238095238"/>
    <s v="High"/>
    <n v="10.902380952381"/>
    <n v="45.79"/>
  </r>
  <r>
    <s v="CMP0125"/>
    <d v="2026-07-25T00:00:00"/>
    <x v="0"/>
    <x v="2"/>
    <n v="4532.21"/>
    <n v="843"/>
    <n v="163"/>
    <x v="0"/>
    <n v="7"/>
    <n v="0.193357058125741"/>
    <s v="High"/>
    <n v="5.3762870699881402"/>
    <n v="27.804969325153401"/>
  </r>
  <r>
    <s v="CMP0266"/>
    <d v="2025-06-03T00:00:00"/>
    <x v="2"/>
    <x v="2"/>
    <n v="4633.21"/>
    <n v="426"/>
    <n v="92"/>
    <x v="1"/>
    <n v="6"/>
    <n v="0.215962441314554"/>
    <s v="High"/>
    <n v="10.8760798122066"/>
    <n v="50.360978260869601"/>
  </r>
  <r>
    <s v="CMP0050"/>
    <d v="2026-05-26T00:00:00"/>
    <x v="2"/>
    <x v="0"/>
    <n v="2503.33"/>
    <n v="297"/>
    <n v="53"/>
    <x v="0"/>
    <n v="5"/>
    <n v="0.178451178451178"/>
    <s v="Low"/>
    <n v="8.4287205387205404"/>
    <n v="47.232641509434004"/>
  </r>
  <r>
    <s v="CMP0275"/>
    <d v="2025-10-11T00:00:00"/>
    <x v="3"/>
    <x v="0"/>
    <n v="2370.21"/>
    <n v="553"/>
    <n v="120"/>
    <x v="1"/>
    <n v="10"/>
    <n v="0.21699819168173601"/>
    <s v="High"/>
    <n v="4.2860940325497303"/>
    <n v="19.751750000000001"/>
  </r>
  <r>
    <s v="CMP0160"/>
    <d v="2025-06-26T00:00:00"/>
    <x v="4"/>
    <x v="6"/>
    <n v="4663.53"/>
    <n v="641"/>
    <n v="109"/>
    <x v="1"/>
    <n v="6"/>
    <n v="0.17004680187207499"/>
    <s v="Low"/>
    <n v="7.2753978159126396"/>
    <n v="42.7846788990826"/>
  </r>
  <r>
    <s v="CMP0239"/>
    <d v="2025-12-14T00:00:00"/>
    <x v="3"/>
    <x v="0"/>
    <n v="658.72"/>
    <n v="52"/>
    <n v="8"/>
    <x v="1"/>
    <n v="12"/>
    <n v="0.15384615384615399"/>
    <s v="Low"/>
    <n v="12.667692307692301"/>
    <n v="82.34"/>
  </r>
  <r>
    <s v="CMP0119"/>
    <d v="2026-02-03T00:00:00"/>
    <x v="3"/>
    <x v="0"/>
    <n v="2413.8000000000002"/>
    <n v="574"/>
    <n v="95"/>
    <x v="0"/>
    <n v="2"/>
    <n v="0.16550522648083599"/>
    <s v="Low"/>
    <n v="4.2052264808362398"/>
    <n v="25.408421052631599"/>
  </r>
  <r>
    <s v="CMP0232"/>
    <d v="2025-04-24T00:00:00"/>
    <x v="2"/>
    <x v="5"/>
    <n v="1496.59"/>
    <n v="223"/>
    <n v="36"/>
    <x v="1"/>
    <n v="4"/>
    <n v="0.161434977578475"/>
    <s v="Low"/>
    <n v="6.7111659192825099"/>
    <n v="41.571944444444398"/>
  </r>
  <r>
    <s v="CMP0262"/>
    <d v="2026-01-28T00:00:00"/>
    <x v="3"/>
    <x v="3"/>
    <n v="3057.48"/>
    <n v="503"/>
    <n v="73"/>
    <x v="0"/>
    <n v="1"/>
    <n v="0.145129224652088"/>
    <s v="Low"/>
    <n v="6.0784890656063597"/>
    <n v="41.8832876712329"/>
  </r>
  <r>
    <s v="CMP0291"/>
    <d v="2025-01-05T00:00:00"/>
    <x v="0"/>
    <x v="6"/>
    <n v="2869.4949999999999"/>
    <n v="118"/>
    <n v="25"/>
    <x v="1"/>
    <n v="1"/>
    <n v="0.21186440677966101"/>
    <s v="High"/>
    <n v="24.317754237288099"/>
    <n v="114.77979999999999"/>
  </r>
  <r>
    <s v="CMP0152"/>
    <d v="2025-10-11T00:00:00"/>
    <x v="2"/>
    <x v="0"/>
    <n v="4668.7299999999996"/>
    <n v="537"/>
    <n v="48"/>
    <x v="1"/>
    <n v="10"/>
    <n v="8.9385474860335198E-2"/>
    <s v="Low"/>
    <n v="8.69409683426443"/>
    <n v="97.265208333333305"/>
  </r>
  <r>
    <s v="CMP0090"/>
    <d v="2025-05-23T00:00:00"/>
    <x v="3"/>
    <x v="2"/>
    <n v="994.02"/>
    <n v="426"/>
    <n v="33"/>
    <x v="1"/>
    <n v="5"/>
    <n v="7.7464788732394402E-2"/>
    <s v="Low"/>
    <n v="2.3333802816901401"/>
    <n v="30.121818181818199"/>
  </r>
  <r>
    <s v="CMP0271"/>
    <d v="2025-11-27T00:00:00"/>
    <x v="0"/>
    <x v="4"/>
    <n v="4865.12"/>
    <n v="463"/>
    <n v="137"/>
    <x v="1"/>
    <n v="11"/>
    <n v="0.29589632829373702"/>
    <s v="High"/>
    <n v="10.507818574513999"/>
    <n v="35.511824817518303"/>
  </r>
  <r>
    <s v="CMP0227"/>
    <d v="2026-04-19T00:00:00"/>
    <x v="4"/>
    <x v="0"/>
    <n v="2693.81"/>
    <n v="533"/>
    <n v="83"/>
    <x v="0"/>
    <n v="4"/>
    <n v="0.155722326454034"/>
    <s v="Low"/>
    <n v="5.0540525328330199"/>
    <n v="32.455542168674697"/>
  </r>
  <r>
    <s v="CMP0238"/>
    <d v="2025-01-21T00:00:00"/>
    <x v="2"/>
    <x v="2"/>
    <n v="2861.6"/>
    <n v="388"/>
    <n v="63"/>
    <x v="1"/>
    <n v="1"/>
    <n v="0.16237113402061901"/>
    <s v="Low"/>
    <n v="7.3752577319587598"/>
    <n v="45.422222222222203"/>
  </r>
  <r>
    <s v="CMP0107"/>
    <d v="2025-07-23T00:00:00"/>
    <x v="0"/>
    <x v="4"/>
    <n v="480.1"/>
    <n v="76"/>
    <n v="16"/>
    <x v="1"/>
    <n v="7"/>
    <n v="0.21052631578947401"/>
    <s v="High"/>
    <n v="6.3171052631578997"/>
    <n v="30.006250000000001"/>
  </r>
  <r>
    <s v="CMP0023"/>
    <d v="2025-05-18T00:00:00"/>
    <x v="0"/>
    <x v="5"/>
    <n v="3712.61"/>
    <n v="420"/>
    <n v="73"/>
    <x v="1"/>
    <n v="5"/>
    <n v="0.173809523809524"/>
    <s v="Low"/>
    <n v="8.8395476190476199"/>
    <n v="50.857671232876697"/>
  </r>
  <r>
    <s v="CMP0195"/>
    <d v="2026-05-13T00:00:00"/>
    <x v="3"/>
    <x v="1"/>
    <n v="1258.1600000000001"/>
    <n v="155"/>
    <n v="32"/>
    <x v="0"/>
    <n v="5"/>
    <n v="0.206451612903226"/>
    <s v="High"/>
    <n v="8.1171612903225796"/>
    <n v="39.317500000000003"/>
  </r>
  <r>
    <s v="CMP0042"/>
    <d v="2025-12-30T00:00:00"/>
    <x v="4"/>
    <x v="6"/>
    <n v="2823.43"/>
    <n v="539"/>
    <n v="122"/>
    <x v="1"/>
    <n v="12"/>
    <n v="0.226345083487941"/>
    <s v="High"/>
    <n v="5.2382745825603001"/>
    <n v="23.142868852458999"/>
  </r>
  <r>
    <s v="CMP0182"/>
    <d v="2025-09-09T00:00:00"/>
    <x v="4"/>
    <x v="5"/>
    <n v="4168.08"/>
    <n v="815"/>
    <n v="206"/>
    <x v="1"/>
    <n v="9"/>
    <n v="0.252760736196319"/>
    <s v="High"/>
    <n v="5.1142085889570597"/>
    <n v="20.233398058252401"/>
  </r>
  <r>
    <s v="CMP0164"/>
    <d v="2025-01-17T00:00:00"/>
    <x v="0"/>
    <x v="6"/>
    <n v="1273.23"/>
    <n v="305"/>
    <n v="53"/>
    <x v="1"/>
    <n v="1"/>
    <n v="0.173770491803279"/>
    <s v="Low"/>
    <n v="4.1745245901639398"/>
    <n v="24.0232075471698"/>
  </r>
  <r>
    <s v="CMP0041"/>
    <d v="2025-08-21T00:00:00"/>
    <x v="0"/>
    <x v="6"/>
    <n v="1245.83"/>
    <n v="178"/>
    <n v="60"/>
    <x v="1"/>
    <n v="8"/>
    <n v="0.33707865168539303"/>
    <s v="High"/>
    <n v="6.9990449438202198"/>
    <n v="20.763833333333299"/>
  </r>
  <r>
    <s v="CMP0121"/>
    <d v="2025-07-19T00:00:00"/>
    <x v="1"/>
    <x v="0"/>
    <n v="4901.34"/>
    <n v="892"/>
    <n v="171"/>
    <x v="1"/>
    <n v="7"/>
    <n v="0.19170403587443999"/>
    <s v="High"/>
    <n v="5.4947757847533598"/>
    <n v="28.662807017543901"/>
  </r>
  <r>
    <s v="CMP0033"/>
    <d v="2025-07-29T00:00:00"/>
    <x v="2"/>
    <x v="0"/>
    <n v="4346.26"/>
    <n v="479"/>
    <n v="73"/>
    <x v="1"/>
    <n v="7"/>
    <n v="0.15240083507306901"/>
    <s v="Low"/>
    <n v="9.07361169102297"/>
    <n v="59.537808219178103"/>
  </r>
  <r>
    <s v="CMP0003"/>
    <d v="2026-01-14T00:00:00"/>
    <x v="2"/>
    <x v="0"/>
    <n v="4817.75"/>
    <n v="1049"/>
    <n v="181"/>
    <x v="0"/>
    <n v="1"/>
    <n v="0.17254528122021001"/>
    <s v="Low"/>
    <n v="4.5927073403241199"/>
    <n v="26.617403314917102"/>
  </r>
  <r>
    <s v="NEW0002"/>
    <d v="2025-12-12T00:00:00"/>
    <x v="4"/>
    <x v="1"/>
    <n v="851.41"/>
    <n v="164"/>
    <n v="35"/>
    <x v="1"/>
    <n v="12"/>
    <n v="0.21341463414634201"/>
    <s v="High"/>
    <n v="5.1915243902438997"/>
    <n v="24.326000000000001"/>
  </r>
  <r>
    <s v="CMP0254"/>
    <d v="2025-04-22T00:00:00"/>
    <x v="4"/>
    <x v="0"/>
    <n v="1739.97"/>
    <n v="404"/>
    <n v="63"/>
    <x v="1"/>
    <n v="4"/>
    <n v="0.155940594059406"/>
    <s v="Low"/>
    <n v="4.3068564356435699"/>
    <n v="27.6185714285714"/>
  </r>
  <r>
    <s v="CMP0095"/>
    <d v="2026-01-28T00:00:00"/>
    <x v="2"/>
    <x v="5"/>
    <n v="4965.01"/>
    <n v="1009"/>
    <n v="151"/>
    <x v="0"/>
    <n v="1"/>
    <n v="0.149653121902874"/>
    <s v="Low"/>
    <n v="4.9207234886025804"/>
    <n v="32.880860927152298"/>
  </r>
  <r>
    <s v="CMP0011"/>
    <d v="2026-03-16T00:00:00"/>
    <x v="4"/>
    <x v="1"/>
    <n v="2058.15"/>
    <n v="416"/>
    <n v="83"/>
    <x v="0"/>
    <n v="3"/>
    <n v="0.199519230769231"/>
    <s v="High"/>
    <n v="4.9474759615384603"/>
    <n v="24.7969879518072"/>
  </r>
  <r>
    <s v="NEW0003"/>
    <d v="2026-03-04T00:00:00"/>
    <x v="0"/>
    <x v="5"/>
    <n v="1936.71"/>
    <n v="333"/>
    <n v="59"/>
    <x v="0"/>
    <n v="3"/>
    <n v="0.17717717717717699"/>
    <s v="Low"/>
    <n v="5.8159459459459502"/>
    <n v="32.825593220339002"/>
  </r>
  <r>
    <s v="CMP0228"/>
    <d v="2025-08-08T00:00:00"/>
    <x v="2"/>
    <x v="4"/>
    <n v="1757.72"/>
    <n v="287"/>
    <n v="34"/>
    <x v="1"/>
    <n v="8"/>
    <n v="0.118466898954704"/>
    <s v="Low"/>
    <n v="6.1244599303135896"/>
    <n v="51.697647058823499"/>
  </r>
  <r>
    <s v="CMP0198"/>
    <d v="2025-10-08T00:00:00"/>
    <x v="2"/>
    <x v="0"/>
    <n v="2412.9699999999998"/>
    <n v="271"/>
    <n v="26"/>
    <x v="1"/>
    <n v="10"/>
    <n v="9.5940959409594101E-2"/>
    <s v="Low"/>
    <n v="8.9039483394833905"/>
    <n v="92.806538461538494"/>
  </r>
  <r>
    <s v="CMP0231"/>
    <d v="2026-05-11T00:00:00"/>
    <x v="3"/>
    <x v="0"/>
    <n v="2457.4899999999998"/>
    <n v="238"/>
    <n v="42"/>
    <x v="0"/>
    <n v="5"/>
    <n v="0.17647058823529399"/>
    <s v="Low"/>
    <n v="10.3255882352941"/>
    <n v="58.511666666666699"/>
  </r>
  <r>
    <s v="CMP0100"/>
    <d v="2025-10-11T00:00:00"/>
    <x v="4"/>
    <x v="6"/>
    <n v="1910.65"/>
    <n v="351"/>
    <n v="62"/>
    <x v="1"/>
    <n v="10"/>
    <n v="0.17663817663817699"/>
    <s v="Low"/>
    <n v="5.4434472934472904"/>
    <n v="30.816935483870999"/>
  </r>
  <r>
    <s v="CMP0110"/>
    <d v="2025-08-05T00:00:00"/>
    <x v="2"/>
    <x v="1"/>
    <n v="3357.04"/>
    <n v="426"/>
    <n v="152"/>
    <x v="1"/>
    <n v="8"/>
    <n v="0.35680751173708902"/>
    <s v="High"/>
    <n v="7.88037558685446"/>
    <n v="22.085789473684201"/>
  </r>
  <r>
    <s v="CMP0115"/>
    <d v="2025-06-10T00:00:00"/>
    <x v="0"/>
    <x v="6"/>
    <n v="3832.39"/>
    <n v="350"/>
    <n v="100"/>
    <x v="1"/>
    <n v="6"/>
    <n v="0.28571428571428598"/>
    <s v="High"/>
    <n v="10.9496857142857"/>
    <n v="38.323900000000002"/>
  </r>
  <r>
    <s v="CMP0288"/>
    <d v="2025-07-12T00:00:00"/>
    <x v="5"/>
    <x v="1"/>
    <n v="3023.16"/>
    <n v="749"/>
    <n v="40"/>
    <x v="1"/>
    <n v="7"/>
    <n v="5.3404539385847799E-2"/>
    <s v="Low"/>
    <n v="4.0362616822429898"/>
    <n v="75.578999999999994"/>
  </r>
  <r>
    <s v="CMP0066"/>
    <d v="2026-06-03T00:00:00"/>
    <x v="2"/>
    <x v="2"/>
    <n v="2869.4949999999999"/>
    <n v="334"/>
    <n v="61"/>
    <x v="0"/>
    <n v="6"/>
    <n v="0.18263473053892201"/>
    <s v="Low"/>
    <n v="8.5913023952095795"/>
    <n v="47.040901639344298"/>
  </r>
  <r>
    <s v="CMP0264"/>
    <d v="2026-05-13T00:00:00"/>
    <x v="3"/>
    <x v="5"/>
    <n v="3245.87"/>
    <n v="388"/>
    <n v="68"/>
    <x v="0"/>
    <n v="5"/>
    <n v="0.17525773195876301"/>
    <s v="Low"/>
    <n v="8.3656443298969094"/>
    <n v="47.733382352941199"/>
  </r>
  <r>
    <s v="CMP0187"/>
    <d v="2026-07-16T00:00:00"/>
    <x v="0"/>
    <x v="5"/>
    <n v="595.54"/>
    <n v="107"/>
    <n v="17"/>
    <x v="0"/>
    <n v="7"/>
    <n v="0.15887850467289699"/>
    <s v="Low"/>
    <n v="5.5657943925233599"/>
    <n v="35.031764705882402"/>
  </r>
  <r>
    <s v="CMP0047"/>
    <d v="2025-10-11T00:00:00"/>
    <x v="0"/>
    <x v="2"/>
    <n v="4768.82"/>
    <n v="674"/>
    <n v="177"/>
    <x v="1"/>
    <n v="10"/>
    <n v="0.26261127596439199"/>
    <s v="High"/>
    <n v="7.0754005934718096"/>
    <n v="26.9424858757062"/>
  </r>
  <r>
    <s v="CMP0088"/>
    <d v="2025-04-01T00:00:00"/>
    <x v="4"/>
    <x v="2"/>
    <n v="2339.96"/>
    <n v="426"/>
    <n v="74"/>
    <x v="1"/>
    <n v="4"/>
    <n v="0.17370892018779299"/>
    <s v="Low"/>
    <n v="5.4928638497652598"/>
    <n v="31.621081081081101"/>
  </r>
  <r>
    <s v="CMP0051"/>
    <d v="2025-09-06T00:00:00"/>
    <x v="2"/>
    <x v="6"/>
    <n v="3682.58"/>
    <n v="426"/>
    <n v="96"/>
    <x v="1"/>
    <n v="9"/>
    <n v="0.22535211267605601"/>
    <s v="High"/>
    <n v="8.6445539906103299"/>
    <n v="38.360208333333297"/>
  </r>
  <r>
    <s v="CMP0092"/>
    <d v="2025-01-18T00:00:00"/>
    <x v="2"/>
    <x v="2"/>
    <n v="2407.33"/>
    <n v="422"/>
    <n v="86"/>
    <x v="1"/>
    <n v="1"/>
    <n v="0.20379146919431301"/>
    <s v="High"/>
    <n v="5.7045734597156397"/>
    <n v="27.992209302325598"/>
  </r>
  <r>
    <s v="CMP0259"/>
    <d v="2025-06-09T00:00:00"/>
    <x v="2"/>
    <x v="5"/>
    <n v="3733.62"/>
    <n v="520"/>
    <n v="-4"/>
    <x v="1"/>
    <n v="6"/>
    <n v="-7.6923076923076901E-3"/>
    <s v="Low"/>
    <n v="7.1800384615384596"/>
    <n v="0"/>
  </r>
  <r>
    <s v="CMP0008"/>
    <d v="2025-03-29T00:00:00"/>
    <x v="0"/>
    <x v="0"/>
    <n v="461.86"/>
    <n v="57"/>
    <n v="13"/>
    <x v="1"/>
    <n v="3"/>
    <n v="0.22807017543859701"/>
    <s v="High"/>
    <n v="8.10280701754386"/>
    <n v="35.527692307692298"/>
  </r>
  <r>
    <s v="CMP0087"/>
    <d v="2025-12-12T00:00:00"/>
    <x v="0"/>
    <x v="0"/>
    <n v="3032.49"/>
    <n v="397"/>
    <n v="98"/>
    <x v="1"/>
    <n v="12"/>
    <n v="0.246851385390428"/>
    <s v="High"/>
    <n v="7.6385138539042803"/>
    <n v="30.943775510204102"/>
  </r>
  <r>
    <s v="CMP0058"/>
    <d v="2025-03-12T00:00:00"/>
    <x v="5"/>
    <x v="1"/>
    <n v="1656.74"/>
    <n v="182"/>
    <n v="12"/>
    <x v="1"/>
    <n v="3"/>
    <n v="6.5934065934065894E-2"/>
    <s v="Low"/>
    <n v="9.1029670329670296"/>
    <n v="138.06166666666701"/>
  </r>
  <r>
    <s v="CMP0073"/>
    <d v="2025-12-26T00:00:00"/>
    <x v="4"/>
    <x v="2"/>
    <n v="2655.84"/>
    <n v="282"/>
    <n v="45"/>
    <x v="1"/>
    <n v="12"/>
    <n v="0.159574468085106"/>
    <s v="Low"/>
    <n v="9.4178723404255305"/>
    <n v="59.018666666666697"/>
  </r>
  <r>
    <s v="CMP0269"/>
    <d v="2025-06-30T00:00:00"/>
    <x v="4"/>
    <x v="1"/>
    <n v="2067.63"/>
    <n v="379"/>
    <n v="91"/>
    <x v="1"/>
    <n v="6"/>
    <n v="0.24010554089709801"/>
    <s v="High"/>
    <n v="5.4554881266490796"/>
    <n v="22.721208791208799"/>
  </r>
  <r>
    <s v="NEW0004"/>
    <d v="2025-08-25T00:00:00"/>
    <x v="4"/>
    <x v="5"/>
    <n v="2644.89"/>
    <n v="432"/>
    <n v="79"/>
    <x v="1"/>
    <n v="8"/>
    <n v="0.18287037037036999"/>
    <s v="Low"/>
    <n v="6.1224305555555603"/>
    <n v="33.479620253164597"/>
  </r>
  <r>
    <s v="CMP0134"/>
    <d v="2025-05-12T00:00:00"/>
    <x v="2"/>
    <x v="2"/>
    <n v="3026.05"/>
    <n v="589"/>
    <n v="88"/>
    <x v="1"/>
    <n v="5"/>
    <n v="0.14940577249575601"/>
    <s v="Low"/>
    <n v="5.1376061120543302"/>
    <n v="34.3869318181818"/>
  </r>
  <r>
    <s v="CMP0032"/>
    <d v="2026-04-03T00:00:00"/>
    <x v="0"/>
    <x v="0"/>
    <n v="2869.4949999999999"/>
    <n v="471"/>
    <n v="112"/>
    <x v="0"/>
    <n v="4"/>
    <n v="0.23779193205944801"/>
    <s v="High"/>
    <n v="6.0923460721868397"/>
    <n v="25.620491071428599"/>
  </r>
  <r>
    <s v="CMP0199"/>
    <d v="2025-08-09T00:00:00"/>
    <x v="5"/>
    <x v="3"/>
    <n v="10024"/>
    <n v="220"/>
    <n v="32"/>
    <x v="1"/>
    <n v="8"/>
    <n v="0.145454545454545"/>
    <s v="Low"/>
    <n v="45.563636363636398"/>
    <n v="313.25"/>
  </r>
  <r>
    <s v="CMP0017"/>
    <d v="2025-10-11T00:00:00"/>
    <x v="3"/>
    <x v="0"/>
    <n v="4719.42"/>
    <n v="1169"/>
    <n v="210"/>
    <x v="1"/>
    <n v="10"/>
    <n v="0.179640718562874"/>
    <s v="Low"/>
    <n v="4.03714285714286"/>
    <n v="22.473428571428599"/>
  </r>
  <r>
    <s v="CMP0144"/>
    <d v="2025-02-27T00:00:00"/>
    <x v="4"/>
    <x v="5"/>
    <n v="4203.28"/>
    <n v="361"/>
    <n v="72"/>
    <x v="1"/>
    <n v="2"/>
    <n v="0.19944598337950101"/>
    <s v="High"/>
    <n v="11.643434903047099"/>
    <n v="58.378888888888902"/>
  </r>
  <r>
    <s v="CMP0018"/>
    <d v="2026-06-27T00:00:00"/>
    <x v="0"/>
    <x v="5"/>
    <n v="464.54"/>
    <n v="76"/>
    <n v="20"/>
    <x v="0"/>
    <n v="6"/>
    <n v="0.26315789473684198"/>
    <s v="High"/>
    <n v="6.1123684210526301"/>
    <n v="23.227"/>
  </r>
  <r>
    <s v="CMP0043"/>
    <d v="2026-03-22T00:00:00"/>
    <x v="4"/>
    <x v="0"/>
    <n v="2869.4949999999999"/>
    <n v="372"/>
    <n v="78"/>
    <x v="0"/>
    <n v="3"/>
    <n v="0.209677419354839"/>
    <s v="High"/>
    <n v="7.7136962365591399"/>
    <n v="36.788397435897402"/>
  </r>
  <r>
    <s v="CMP0257"/>
    <d v="2025-12-15T00:00:00"/>
    <x v="1"/>
    <x v="0"/>
    <n v="2374.5100000000002"/>
    <n v="537"/>
    <n v="112"/>
    <x v="1"/>
    <n v="12"/>
    <n v="0.20856610800744901"/>
    <s v="High"/>
    <n v="4.4218063314711404"/>
    <n v="21.2009821428572"/>
  </r>
  <r>
    <s v="CMP0217"/>
    <d v="2025-01-16T00:00:00"/>
    <x v="4"/>
    <x v="2"/>
    <n v="1178.29"/>
    <n v="174"/>
    <n v="38"/>
    <x v="1"/>
    <n v="1"/>
    <n v="0.21839080459770099"/>
    <s v="High"/>
    <n v="6.7717816091953997"/>
    <n v="31.0076315789474"/>
  </r>
  <r>
    <s v="CMP0139"/>
    <d v="2025-03-18T00:00:00"/>
    <x v="3"/>
    <x v="0"/>
    <n v="1857.7"/>
    <n v="309"/>
    <n v="42"/>
    <x v="1"/>
    <n v="3"/>
    <n v="0.13592233009708701"/>
    <s v="Low"/>
    <n v="6.0119741100323596"/>
    <n v="44.230952380952402"/>
  </r>
  <r>
    <s v="CMP0204"/>
    <d v="2026-01-31T00:00:00"/>
    <x v="1"/>
    <x v="2"/>
    <n v="3708.29"/>
    <n v="637"/>
    <n v="77"/>
    <x v="0"/>
    <n v="1"/>
    <n v="0.120879120879121"/>
    <s v="Low"/>
    <n v="5.8214913657770797"/>
    <n v="48.1596103896104"/>
  </r>
  <r>
    <s v="CMP0086"/>
    <d v="2025-09-10T00:00:00"/>
    <x v="0"/>
    <x v="0"/>
    <n v="1245.05"/>
    <n v="135"/>
    <n v="28"/>
    <x v="1"/>
    <n v="9"/>
    <n v="0.20740740740740701"/>
    <s v="High"/>
    <n v="9.2225925925925907"/>
    <n v="44.466071428571396"/>
  </r>
  <r>
    <s v="CMP0180"/>
    <d v="2025-03-28T00:00:00"/>
    <x v="2"/>
    <x v="4"/>
    <n v="2426.4499999999998"/>
    <n v="221"/>
    <n v="54"/>
    <x v="1"/>
    <n v="3"/>
    <n v="0.24434389140271501"/>
    <s v="High"/>
    <n v="10.979411764705899"/>
    <n v="44.934259259259299"/>
  </r>
  <r>
    <s v="CMP0214"/>
    <d v="2026-02-10T00:00:00"/>
    <x v="5"/>
    <x v="1"/>
    <n v="1395.38"/>
    <n v="115"/>
    <n v="14"/>
    <x v="0"/>
    <n v="2"/>
    <n v="0.121739130434783"/>
    <s v="Low"/>
    <n v="12.133739130434799"/>
    <n v="99.67"/>
  </r>
  <r>
    <s v="CMP0210"/>
    <d v="2026-06-06T00:00:00"/>
    <x v="4"/>
    <x v="2"/>
    <n v="2959.61"/>
    <n v="393"/>
    <n v="75"/>
    <x v="0"/>
    <n v="6"/>
    <n v="0.19083969465648901"/>
    <s v="High"/>
    <n v="7.5308142493638703"/>
    <n v="39.461466666666702"/>
  </r>
  <r>
    <s v="CMP0075"/>
    <d v="2026-07-29T00:00:00"/>
    <x v="3"/>
    <x v="4"/>
    <n v="3750.07"/>
    <n v="877"/>
    <n v="221"/>
    <x v="0"/>
    <n v="7"/>
    <n v="0.251995438996579"/>
    <s v="High"/>
    <n v="4.2760205245153902"/>
    <n v="16.968642533936698"/>
  </r>
  <r>
    <s v="CMP0173"/>
    <d v="2026-03-20T00:00:00"/>
    <x v="5"/>
    <x v="0"/>
    <n v="3169.93"/>
    <n v="615"/>
    <n v="62"/>
    <x v="0"/>
    <n v="3"/>
    <n v="0.100813008130081"/>
    <s v="Low"/>
    <n v="5.15435772357724"/>
    <n v="51.127903225806499"/>
  </r>
  <r>
    <s v="CMP0159"/>
    <d v="2025-08-01T00:00:00"/>
    <x v="2"/>
    <x v="2"/>
    <n v="430.74"/>
    <n v="79"/>
    <n v="12"/>
    <x v="1"/>
    <n v="8"/>
    <n v="0.151898734177215"/>
    <s v="Low"/>
    <n v="5.4524050632911401"/>
    <n v="35.895000000000003"/>
  </r>
  <r>
    <s v="CMP0181"/>
    <d v="2026-05-22T00:00:00"/>
    <x v="0"/>
    <x v="5"/>
    <n v="1524.32"/>
    <n v="371"/>
    <n v="104"/>
    <x v="0"/>
    <n v="5"/>
    <n v="0.280323450134771"/>
    <s v="High"/>
    <n v="4.1086792452830201"/>
    <n v="14.6569230769231"/>
  </r>
  <r>
    <s v="CMP0194"/>
    <d v="2026-06-03T00:00:00"/>
    <x v="4"/>
    <x v="6"/>
    <n v="2937.63"/>
    <n v="426"/>
    <n v="154"/>
    <x v="0"/>
    <n v="6"/>
    <n v="0.36150234741783999"/>
    <s v="High"/>
    <n v="6.8958450704225402"/>
    <n v="19.0755194805195"/>
  </r>
  <r>
    <s v="CMP0060"/>
    <d v="2025-09-06T00:00:00"/>
    <x v="4"/>
    <x v="6"/>
    <n v="1901.11"/>
    <n v="362"/>
    <n v="73"/>
    <x v="1"/>
    <n v="9"/>
    <n v="0.20165745856353601"/>
    <s v="High"/>
    <n v="5.25168508287293"/>
    <n v="26.042602739726"/>
  </r>
  <r>
    <s v="CMP0185"/>
    <d v="2025-06-26T00:00:00"/>
    <x v="3"/>
    <x v="0"/>
    <n v="2155.5"/>
    <n v="224"/>
    <n v="44"/>
    <x v="1"/>
    <n v="6"/>
    <n v="0.19642857142857101"/>
    <s v="High"/>
    <n v="9.6227678571428594"/>
    <n v="48.988636363636402"/>
  </r>
  <r>
    <s v="CMP0093"/>
    <d v="2025-10-19T00:00:00"/>
    <x v="3"/>
    <x v="5"/>
    <n v="279"/>
    <n v="43"/>
    <n v="8"/>
    <x v="1"/>
    <n v="10"/>
    <n v="0.186046511627907"/>
    <s v="Low"/>
    <n v="6.4883720930232602"/>
    <n v="34.875"/>
  </r>
  <r>
    <s v="CMP0272"/>
    <d v="2025-04-20T00:00:00"/>
    <x v="2"/>
    <x v="6"/>
    <n v="617.57000000000005"/>
    <n v="96"/>
    <n v="17"/>
    <x v="1"/>
    <n v="4"/>
    <n v="0.17708333333333301"/>
    <s v="Low"/>
    <n v="6.4330208333333303"/>
    <n v="36.327647058823501"/>
  </r>
  <r>
    <s v="CMP0201"/>
    <d v="2025-08-09T00:00:00"/>
    <x v="4"/>
    <x v="0"/>
    <n v="1552.76"/>
    <n v="314"/>
    <n v="39"/>
    <x v="1"/>
    <n v="8"/>
    <n v="0.124203821656051"/>
    <s v="Low"/>
    <n v="4.9450955414012698"/>
    <n v="39.814358974359003"/>
  </r>
  <r>
    <s v="CMP0282"/>
    <d v="2025-02-13T00:00:00"/>
    <x v="2"/>
    <x v="2"/>
    <n v="4354.53"/>
    <n v="426"/>
    <n v="48"/>
    <x v="1"/>
    <n v="2"/>
    <n v="0.11267605633802801"/>
    <s v="Low"/>
    <n v="10.2219014084507"/>
    <n v="90.719374999999999"/>
  </r>
  <r>
    <s v="CMP0040"/>
    <d v="2025-08-01T00:00:00"/>
    <x v="0"/>
    <x v="1"/>
    <n v="4824.93"/>
    <n v="437"/>
    <n v="122"/>
    <x v="1"/>
    <n v="8"/>
    <n v="0.27917620137299798"/>
    <s v="High"/>
    <n v="11.041029748283799"/>
    <n v="39.548606557377099"/>
  </r>
  <r>
    <s v="CMP0109"/>
    <d v="2025-07-19T00:00:00"/>
    <x v="2"/>
    <x v="0"/>
    <n v="3735.12"/>
    <n v="887"/>
    <n v="149"/>
    <x v="1"/>
    <n v="7"/>
    <n v="0.16798196166854601"/>
    <s v="Low"/>
    <n v="4.21095828635851"/>
    <n v="25.0679194630873"/>
  </r>
  <r>
    <s v="CMP0249"/>
    <d v="2025-09-25T00:00:00"/>
    <x v="1"/>
    <x v="2"/>
    <n v="442.02"/>
    <n v="71"/>
    <n v="19"/>
    <x v="1"/>
    <n v="9"/>
    <n v="0.26760563380281699"/>
    <s v="High"/>
    <n v="6.2256338028169003"/>
    <n v="23.2642105263158"/>
  </r>
  <r>
    <s v="CMP0215"/>
    <d v="2025-09-16T00:00:00"/>
    <x v="4"/>
    <x v="2"/>
    <n v="4603.4399999999996"/>
    <n v="1005"/>
    <n v="178"/>
    <x v="1"/>
    <n v="9"/>
    <n v="0.177114427860697"/>
    <s v="Low"/>
    <n v="4.5805373134328402"/>
    <n v="25.862022471910102"/>
  </r>
  <r>
    <s v="CMP0007"/>
    <d v="2026-01-27T00:00:00"/>
    <x v="4"/>
    <x v="0"/>
    <n v="1824.13"/>
    <n v="224"/>
    <n v="73"/>
    <x v="0"/>
    <n v="1"/>
    <n v="0.32589285714285698"/>
    <s v="High"/>
    <n v="8.1434374999999992"/>
    <n v="24.988082191780801"/>
  </r>
  <r>
    <s v="CMP0230"/>
    <d v="2025-12-15T00:00:00"/>
    <x v="3"/>
    <x v="6"/>
    <n v="4886.1400000000003"/>
    <n v="551"/>
    <n v="79"/>
    <x v="1"/>
    <n v="12"/>
    <n v="0.143375680580762"/>
    <s v="Low"/>
    <n v="8.8677676950998201"/>
    <n v="61.849873417721497"/>
  </r>
  <r>
    <s v="CMP0118"/>
    <d v="2025-05-07T00:00:00"/>
    <x v="2"/>
    <x v="5"/>
    <n v="2869.4949999999999"/>
    <n v="459"/>
    <n v="82"/>
    <x v="1"/>
    <n v="5"/>
    <n v="0.17864923747276701"/>
    <s v="Low"/>
    <n v="6.2516230936819204"/>
    <n v="34.993841463414597"/>
  </r>
  <r>
    <s v="CMP0124"/>
    <d v="2025-08-05T00:00:00"/>
    <x v="5"/>
    <x v="0"/>
    <n v="4259.53"/>
    <n v="393"/>
    <n v="45"/>
    <x v="1"/>
    <n v="8"/>
    <n v="0.114503816793893"/>
    <s v="Low"/>
    <n v="10.8384987277354"/>
    <n v="94.656222222222198"/>
  </r>
  <r>
    <s v="CMP0039"/>
    <d v="2025-07-31T00:00:00"/>
    <x v="1"/>
    <x v="0"/>
    <n v="1534.26"/>
    <n v="281"/>
    <n v="30"/>
    <x v="1"/>
    <n v="7"/>
    <n v="0.106761565836299"/>
    <s v="Low"/>
    <n v="5.46"/>
    <n v="51.142000000000003"/>
  </r>
  <r>
    <s v="NEW0005"/>
    <d v="2025-05-26T00:00:00"/>
    <x v="5"/>
    <x v="6"/>
    <n v="3315.37"/>
    <n v="691"/>
    <n v="13"/>
    <x v="1"/>
    <n v="5"/>
    <n v="1.8813314037626601E-2"/>
    <s v="Low"/>
    <n v="4.7979305354558601"/>
    <n v="255.02846153846201"/>
  </r>
  <r>
    <s v="NEW0006"/>
    <d v="2026-01-17T00:00:00"/>
    <x v="2"/>
    <x v="0"/>
    <n v="811.21"/>
    <n v="91"/>
    <n v="19"/>
    <x v="0"/>
    <n v="1"/>
    <n v="0.20879120879120899"/>
    <s v="High"/>
    <n v="8.9143956043956099"/>
    <n v="42.695263157894701"/>
  </r>
  <r>
    <s v="CMP0154"/>
    <d v="2026-04-14T00:00:00"/>
    <x v="2"/>
    <x v="0"/>
    <n v="4609.66"/>
    <n v="426"/>
    <n v="121"/>
    <x v="0"/>
    <n v="4"/>
    <n v="0.284037558685446"/>
    <s v="High"/>
    <n v="10.8207981220657"/>
    <n v="38.096363636363598"/>
  </r>
  <r>
    <s v="CMP0010"/>
    <d v="2026-06-01T00:00:00"/>
    <x v="2"/>
    <x v="4"/>
    <n v="3759.67"/>
    <n v="516"/>
    <n v="46"/>
    <x v="0"/>
    <n v="6"/>
    <n v="8.9147286821705404E-2"/>
    <s v="Low"/>
    <n v="7.2861821705426397"/>
    <n v="81.731956521739093"/>
  </r>
  <r>
    <s v="CMP0242"/>
    <d v="2025-06-05T00:00:00"/>
    <x v="3"/>
    <x v="4"/>
    <n v="3053.83"/>
    <n v="332"/>
    <n v="72"/>
    <x v="1"/>
    <n v="6"/>
    <n v="0.21686746987951799"/>
    <s v="High"/>
    <n v="9.1982831325301202"/>
    <n v="42.4143055555556"/>
  </r>
  <r>
    <s v="CMP0193"/>
    <d v="2025-02-22T00:00:00"/>
    <x v="2"/>
    <x v="6"/>
    <n v="3697.57"/>
    <n v="344"/>
    <n v="60"/>
    <x v="1"/>
    <n v="2"/>
    <n v="0.17441860465116299"/>
    <s v="Low"/>
    <n v="10.748749999999999"/>
    <n v="61.626166666666698"/>
  </r>
  <r>
    <s v="CMP0286"/>
    <d v="2025-02-07T00:00:00"/>
    <x v="2"/>
    <x v="0"/>
    <n v="466.08"/>
    <n v="54"/>
    <n v="9"/>
    <x v="1"/>
    <n v="2"/>
    <n v="0.16666666666666699"/>
    <s v="Low"/>
    <n v="8.6311111111111103"/>
    <n v="51.786666666666697"/>
  </r>
  <r>
    <s v="CMP0184"/>
    <d v="2025-09-18T00:00:00"/>
    <x v="0"/>
    <x v="0"/>
    <n v="3032.39"/>
    <n v="654"/>
    <n v="187"/>
    <x v="1"/>
    <n v="9"/>
    <n v="0.28593272171253797"/>
    <s v="High"/>
    <n v="4.6366819571865499"/>
    <n v="16.215989304812801"/>
  </r>
  <r>
    <s v="CMP0167"/>
    <d v="2025-10-11T00:00:00"/>
    <x v="0"/>
    <x v="6"/>
    <n v="1808.06"/>
    <n v="301"/>
    <n v="83"/>
    <x v="1"/>
    <n v="10"/>
    <n v="0.27574750830564798"/>
    <s v="High"/>
    <n v="6.0068438538205999"/>
    <n v="21.783855421686798"/>
  </r>
  <r>
    <s v="CMP0103"/>
    <d v="2025-12-09T00:00:00"/>
    <x v="5"/>
    <x v="1"/>
    <n v="4596.24"/>
    <n v="446"/>
    <n v="33"/>
    <x v="1"/>
    <n v="12"/>
    <n v="7.3991031390134507E-2"/>
    <s v="Low"/>
    <n v="10.305470852017899"/>
    <n v="139.28"/>
  </r>
  <r>
    <s v="CMP0022"/>
    <d v="2025-10-22T00:00:00"/>
    <x v="2"/>
    <x v="1"/>
    <n v="2869.4949999999999"/>
    <n v="887"/>
    <n v="92"/>
    <x v="1"/>
    <n v="10"/>
    <n v="0.103720405862458"/>
    <s v="Low"/>
    <n v="3.2350563697857999"/>
    <n v="31.1901630434783"/>
  </r>
  <r>
    <s v="CMP0120"/>
    <d v="2025-06-12T00:00:00"/>
    <x v="0"/>
    <x v="0"/>
    <n v="1171.08"/>
    <n v="239"/>
    <n v="77"/>
    <x v="1"/>
    <n v="6"/>
    <n v="0.32217573221757301"/>
    <s v="High"/>
    <n v="4.8999163179916296"/>
    <n v="15.2088311688312"/>
  </r>
  <r>
    <s v="NEW0007"/>
    <d v="2026-01-27T00:00:00"/>
    <x v="2"/>
    <x v="0"/>
    <n v="4535.59"/>
    <n v="515"/>
    <n v="102"/>
    <x v="0"/>
    <n v="1"/>
    <n v="0.198058252427185"/>
    <s v="High"/>
    <n v="8.8069708737864101"/>
    <n v="44.466568627450997"/>
  </r>
  <r>
    <s v="CMP0031"/>
    <d v="2025-10-22T00:00:00"/>
    <x v="0"/>
    <x v="4"/>
    <n v="2516.86"/>
    <n v="396"/>
    <n v="105"/>
    <x v="1"/>
    <n v="10"/>
    <n v="0.26515151515151503"/>
    <s v="High"/>
    <n v="6.3557070707070702"/>
    <n v="23.970095238095201"/>
  </r>
  <r>
    <s v="CMP0278"/>
    <d v="2025-04-28T00:00:00"/>
    <x v="2"/>
    <x v="6"/>
    <n v="4480.3999999999996"/>
    <n v="623"/>
    <n v="137"/>
    <x v="1"/>
    <n v="4"/>
    <n v="0.21990369181380401"/>
    <s v="High"/>
    <n v="7.1916532905296897"/>
    <n v="32.703649635036498"/>
  </r>
  <r>
    <s v="CMP0244"/>
    <d v="2025-11-26T00:00:00"/>
    <x v="0"/>
    <x v="6"/>
    <n v="1871.59"/>
    <n v="449"/>
    <n v="126"/>
    <x v="1"/>
    <n v="11"/>
    <n v="0.28062360801781699"/>
    <s v="High"/>
    <n v="4.1683518930957701"/>
    <n v="14.8538888888889"/>
  </r>
  <r>
    <s v="CMP0176"/>
    <d v="2025-05-22T00:00:00"/>
    <x v="3"/>
    <x v="0"/>
    <n v="1114.46"/>
    <n v="426"/>
    <n v="15"/>
    <x v="1"/>
    <n v="5"/>
    <n v="3.5211267605633798E-2"/>
    <s v="Low"/>
    <n v="2.61610328638498"/>
    <n v="74.297333333333299"/>
  </r>
  <r>
    <s v="CMP0021"/>
    <d v="2025-10-11T00:00:00"/>
    <x v="2"/>
    <x v="0"/>
    <n v="3820.16"/>
    <n v="404"/>
    <n v="44"/>
    <x v="1"/>
    <n v="10"/>
    <n v="0.10891089108910899"/>
    <s v="Low"/>
    <n v="9.4558415841584207"/>
    <n v="86.821818181818202"/>
  </r>
  <r>
    <s v="CMP0148"/>
    <d v="2025-07-22T00:00:00"/>
    <x v="2"/>
    <x v="2"/>
    <n v="3984.76"/>
    <n v="836"/>
    <n v="146"/>
    <x v="1"/>
    <n v="7"/>
    <n v="0.17464114832535901"/>
    <s v="Low"/>
    <n v="4.7664593301435403"/>
    <n v="27.292876712328798"/>
  </r>
  <r>
    <s v="CMP0208"/>
    <d v="2026-04-21T00:00:00"/>
    <x v="1"/>
    <x v="0"/>
    <n v="4136.17"/>
    <n v="868"/>
    <n v="236"/>
    <x v="0"/>
    <n v="4"/>
    <n v="0.27188940092165897"/>
    <s v="High"/>
    <n v="4.7651728110599096"/>
    <n v="17.526144067796601"/>
  </r>
  <r>
    <s v="CMP0116"/>
    <d v="2025-02-13T00:00:00"/>
    <x v="0"/>
    <x v="6"/>
    <n v="1886.26"/>
    <n v="2020"/>
    <n v="64"/>
    <x v="1"/>
    <n v="2"/>
    <n v="3.1683168316831697E-2"/>
    <s v="Low"/>
    <n v="0.93379207920792096"/>
    <n v="29.4728125"/>
  </r>
  <r>
    <s v="CMP0236"/>
    <d v="2025-06-19T00:00:00"/>
    <x v="2"/>
    <x v="0"/>
    <n v="2545.5100000000002"/>
    <n v="317"/>
    <n v="62"/>
    <x v="1"/>
    <n v="6"/>
    <n v="0.19558359621451099"/>
    <s v="High"/>
    <n v="8.0299999999999994"/>
    <n v="41.056612903225798"/>
  </r>
  <r>
    <s v="CMP0213"/>
    <d v="2026-03-05T00:00:00"/>
    <x v="0"/>
    <x v="0"/>
    <n v="3983.85"/>
    <n v="785"/>
    <n v="171"/>
    <x v="0"/>
    <n v="3"/>
    <n v="0.21783439490445899"/>
    <s v="High"/>
    <n v="5.0749681528662398"/>
    <n v="23.2973684210526"/>
  </r>
  <r>
    <s v="CMP0284"/>
    <d v="2025-03-10T00:00:00"/>
    <x v="3"/>
    <x v="4"/>
    <n v="3390.61"/>
    <n v="426"/>
    <n v="129"/>
    <x v="1"/>
    <n v="3"/>
    <n v="0.30281690140845102"/>
    <s v="High"/>
    <n v="7.9591784037558702"/>
    <n v="26.283798449612402"/>
  </r>
  <r>
    <s v="CMP0096"/>
    <d v="2025-05-03T00:00:00"/>
    <x v="3"/>
    <x v="6"/>
    <n v="4386.0600000000004"/>
    <n v="363"/>
    <n v="71"/>
    <x v="1"/>
    <n v="5"/>
    <n v="0.195592286501377"/>
    <s v="High"/>
    <n v="12.0828099173554"/>
    <n v="61.775492957746501"/>
  </r>
  <r>
    <s v="CMP0250"/>
    <d v="2025-03-10T00:00:00"/>
    <x v="2"/>
    <x v="5"/>
    <n v="1162.7"/>
    <n v="264"/>
    <n v="51"/>
    <x v="1"/>
    <n v="3"/>
    <n v="0.19318181818181801"/>
    <s v="High"/>
    <n v="4.4041666666666703"/>
    <n v="22.798039215686298"/>
  </r>
  <r>
    <s v="CMP0285"/>
    <d v="2025-02-02T00:00:00"/>
    <x v="5"/>
    <x v="4"/>
    <n v="4794.5"/>
    <n v="1097"/>
    <n v="164"/>
    <x v="1"/>
    <n v="2"/>
    <n v="0.14949863263445801"/>
    <s v="Low"/>
    <n v="4.3705560619872399"/>
    <n v="29.234756097561"/>
  </r>
  <r>
    <s v="CMP0246"/>
    <d v="2025-05-20T00:00:00"/>
    <x v="0"/>
    <x v="0"/>
    <n v="1957.41"/>
    <n v="426"/>
    <n v="112"/>
    <x v="1"/>
    <n v="5"/>
    <n v="0.26291079812206603"/>
    <s v="High"/>
    <n v="4.5948591549295799"/>
    <n v="17.476875"/>
  </r>
  <r>
    <s v="CMP0279"/>
    <d v="2025-10-04T00:00:00"/>
    <x v="3"/>
    <x v="1"/>
    <n v="3515.62"/>
    <n v="462"/>
    <n v="110"/>
    <x v="1"/>
    <n v="10"/>
    <n v="0.238095238095238"/>
    <s v="High"/>
    <n v="7.6095670995670996"/>
    <n v="31.960181818181798"/>
  </r>
  <r>
    <s v="CMP0153"/>
    <d v="2025-04-20T00:00:00"/>
    <x v="2"/>
    <x v="2"/>
    <n v="3004.61"/>
    <n v="469"/>
    <n v="62"/>
    <x v="1"/>
    <n v="4"/>
    <n v="0.13219616204690801"/>
    <s v="Low"/>
    <n v="6.4064179104477601"/>
    <n v="48.461451612903197"/>
  </r>
  <r>
    <s v="CMP0237"/>
    <d v="2025-11-28T00:00:00"/>
    <x v="4"/>
    <x v="3"/>
    <n v="4745.3500000000004"/>
    <n v="589"/>
    <n v="129"/>
    <x v="1"/>
    <n v="11"/>
    <n v="0.219015280135823"/>
    <s v="High"/>
    <n v="8.0566213921901504"/>
    <n v="36.7856589147287"/>
  </r>
  <r>
    <s v="CMP0145"/>
    <d v="2026-04-22T00:00:00"/>
    <x v="4"/>
    <x v="2"/>
    <n v="4019.24"/>
    <n v="352"/>
    <n v="73"/>
    <x v="0"/>
    <n v="4"/>
    <n v="0.20738636363636401"/>
    <s v="High"/>
    <n v="11.4182954545455"/>
    <n v="55.058082191780798"/>
  </r>
  <r>
    <s v="CMP0030"/>
    <d v="2025-01-22T00:00:00"/>
    <x v="4"/>
    <x v="0"/>
    <n v="604.73"/>
    <n v="124"/>
    <n v="21"/>
    <x v="1"/>
    <n v="1"/>
    <n v="0.16935483870967699"/>
    <s v="Low"/>
    <n v="4.8768548387096802"/>
    <n v="28.796666666666699"/>
  </r>
  <r>
    <s v="NEW0008"/>
    <d v="2026-05-01T00:00:00"/>
    <x v="0"/>
    <x v="0"/>
    <n v="4255.3599999999997"/>
    <n v="958"/>
    <n v="73"/>
    <x v="0"/>
    <n v="5"/>
    <n v="7.6200417536534504E-2"/>
    <s v="Low"/>
    <n v="4.44192066805845"/>
    <n v="58.292602739726"/>
  </r>
  <r>
    <s v="CMP0001"/>
    <d v="2025-08-02T00:00:00"/>
    <x v="4"/>
    <x v="1"/>
    <n v="1204.6600000000001"/>
    <n v="426"/>
    <n v="59"/>
    <x v="1"/>
    <n v="8"/>
    <n v="0.13849765258216001"/>
    <s v="Low"/>
    <n v="2.82784037558686"/>
    <n v="20.417966101694901"/>
  </r>
  <r>
    <s v="CMP0105"/>
    <d v="2025-10-08T00:00:00"/>
    <x v="2"/>
    <x v="2"/>
    <n v="606.14"/>
    <n v="61"/>
    <n v="61"/>
    <x v="1"/>
    <n v="10"/>
    <n v="1"/>
    <s v="High"/>
    <n v="9.9367213114754094"/>
    <n v="9.9367213114754094"/>
  </r>
  <r>
    <s v="CMP0200"/>
    <d v="2026-07-06T00:00:00"/>
    <x v="2"/>
    <x v="0"/>
    <n v="2072.73"/>
    <n v="291"/>
    <n v="53"/>
    <x v="0"/>
    <n v="7"/>
    <n v="0.18213058419243999"/>
    <s v="Low"/>
    <n v="7.12278350515464"/>
    <n v="39.108113207547198"/>
  </r>
  <r>
    <s v="CMP0052"/>
    <d v="2025-09-14T00:00:00"/>
    <x v="3"/>
    <x v="6"/>
    <n v="2168.23"/>
    <n v="302"/>
    <n v="35"/>
    <x v="1"/>
    <n v="9"/>
    <n v="0.115894039735099"/>
    <s v="Low"/>
    <n v="7.1795695364238403"/>
    <n v="61.949428571428598"/>
  </r>
  <r>
    <s v="CMP0283"/>
    <d v="2025-07-26T00:00:00"/>
    <x v="0"/>
    <x v="5"/>
    <n v="4432.42"/>
    <n v="953"/>
    <n v="211"/>
    <x v="1"/>
    <n v="7"/>
    <n v="0.221406086044071"/>
    <s v="High"/>
    <n v="4.65101783840504"/>
    <n v="21.006729857819899"/>
  </r>
  <r>
    <s v="CMP0099"/>
    <d v="2025-08-14T00:00:00"/>
    <x v="0"/>
    <x v="0"/>
    <n v="2869.4949999999999"/>
    <n v="901"/>
    <n v="198"/>
    <x v="1"/>
    <n v="8"/>
    <n v="0.21975582685904599"/>
    <s v="High"/>
    <n v="3.1847891231964498"/>
    <n v="14.492398989899"/>
  </r>
  <r>
    <s v="CMP0147"/>
    <d v="2026-01-05T00:00:00"/>
    <x v="0"/>
    <x v="2"/>
    <n v="2656.25"/>
    <n v="484"/>
    <n v="131"/>
    <x v="0"/>
    <n v="1"/>
    <n v="0.27066115702479299"/>
    <s v="High"/>
    <n v="5.4881198347107398"/>
    <n v="20.276717557251899"/>
  </r>
  <r>
    <s v="CMP0036"/>
    <d v="2026-07-23T00:00:00"/>
    <x v="5"/>
    <x v="2"/>
    <n v="4681.12"/>
    <n v="461"/>
    <n v="43"/>
    <x v="0"/>
    <n v="7"/>
    <n v="9.3275488069414297E-2"/>
    <s v="Low"/>
    <n v="10.154273318872001"/>
    <n v="108.863255813954"/>
  </r>
  <r>
    <s v="CMP0216"/>
    <d v="2025-12-31T00:00:00"/>
    <x v="5"/>
    <x v="2"/>
    <n v="1436.63"/>
    <n v="325"/>
    <n v="73"/>
    <x v="1"/>
    <n v="12"/>
    <n v="0.22461538461538499"/>
    <s v="High"/>
    <n v="4.4203999999999999"/>
    <n v="19.679863013698601"/>
  </r>
  <r>
    <s v="CMP0241"/>
    <d v="2025-01-23T00:00:00"/>
    <x v="0"/>
    <x v="5"/>
    <n v="4866.42"/>
    <n v="484"/>
    <n v="130"/>
    <x v="1"/>
    <n v="1"/>
    <n v="0.26859504132231399"/>
    <s v="High"/>
    <n v="10.0545867768595"/>
    <n v="37.433999999999997"/>
  </r>
  <r>
    <s v="CMP0076"/>
    <d v="2026-03-07T00:00:00"/>
    <x v="0"/>
    <x v="6"/>
    <n v="1750.35"/>
    <n v="310"/>
    <n v="82"/>
    <x v="0"/>
    <n v="3"/>
    <n v="0.26451612903225802"/>
    <s v="High"/>
    <n v="5.64629032258064"/>
    <n v="21.3457317073171"/>
  </r>
  <r>
    <s v="CMP0137"/>
    <d v="2025-03-10T00:00:00"/>
    <x v="1"/>
    <x v="1"/>
    <n v="4171.16"/>
    <n v="800"/>
    <n v="160"/>
    <x v="1"/>
    <n v="3"/>
    <n v="0.2"/>
    <s v="High"/>
    <n v="5.2139499999999996"/>
    <n v="26.069749999999999"/>
  </r>
  <r>
    <s v="CMP0234"/>
    <d v="2025-11-28T00:00:00"/>
    <x v="2"/>
    <x v="0"/>
    <n v="2869.4949999999999"/>
    <n v="757"/>
    <n v="84"/>
    <x v="1"/>
    <n v="11"/>
    <n v="0.11096433289299901"/>
    <s v="Low"/>
    <n v="3.7906142668428"/>
    <n v="34.160654761904802"/>
  </r>
  <r>
    <s v="CMP0191"/>
    <d v="2026-06-22T00:00:00"/>
    <x v="0"/>
    <x v="4"/>
    <n v="3586.84"/>
    <n v="484"/>
    <n v="119"/>
    <x v="0"/>
    <n v="6"/>
    <n v="0.245867768595041"/>
    <s v="High"/>
    <n v="7.4108264462809901"/>
    <n v="30.141512605041999"/>
  </r>
  <r>
    <s v="CMP0014"/>
    <d v="2025-04-11T00:00:00"/>
    <x v="1"/>
    <x v="0"/>
    <n v="3209.43"/>
    <n v="588"/>
    <n v="135"/>
    <x v="1"/>
    <n v="4"/>
    <n v="0.22959183673469399"/>
    <s v="High"/>
    <n v="5.4582142857142903"/>
    <n v="23.7735555555556"/>
  </r>
  <r>
    <s v="CMP0112"/>
    <d v="2026-01-15T00:00:00"/>
    <x v="0"/>
    <x v="6"/>
    <n v="3566.31"/>
    <n v="426"/>
    <n v="112"/>
    <x v="0"/>
    <n v="1"/>
    <n v="0.26291079812206603"/>
    <s v="High"/>
    <n v="8.3716197183098604"/>
    <n v="31.8420535714286"/>
  </r>
  <r>
    <s v="CMP0166"/>
    <d v="2025-10-11T00:00:00"/>
    <x v="0"/>
    <x v="6"/>
    <n v="1846.32"/>
    <n v="335"/>
    <n v="74"/>
    <x v="1"/>
    <n v="10"/>
    <n v="0.22089552238806001"/>
    <s v="High"/>
    <n v="5.5114029850746302"/>
    <n v="24.950270270270298"/>
  </r>
  <r>
    <s v="CMP0240"/>
    <d v="2025-09-15T00:00:00"/>
    <x v="5"/>
    <x v="0"/>
    <n v="-9"/>
    <n v="728"/>
    <n v="36"/>
    <x v="1"/>
    <n v="9"/>
    <n v="4.9450549450549497E-2"/>
    <s v="Low"/>
    <n v="-1.23626373626374E-2"/>
    <n v="-0.25"/>
  </r>
  <r>
    <s v="CMP0045"/>
    <d v="2026-05-19T00:00:00"/>
    <x v="2"/>
    <x v="4"/>
    <n v="2468.4899999999998"/>
    <n v="507"/>
    <n v="47"/>
    <x v="0"/>
    <n v="5"/>
    <n v="9.2702169625246605E-2"/>
    <s v="Low"/>
    <n v="4.8688165680473396"/>
    <n v="52.521063829787202"/>
  </r>
  <r>
    <s v="CMP0081"/>
    <d v="2026-03-24T00:00:00"/>
    <x v="5"/>
    <x v="5"/>
    <n v="4251.95"/>
    <n v="426"/>
    <n v="32"/>
    <x v="0"/>
    <n v="3"/>
    <n v="7.5117370892018795E-2"/>
    <s v="Low"/>
    <n v="9.9811032863849807"/>
    <n v="132.87343749999999"/>
  </r>
  <r>
    <s v="CMP0165"/>
    <d v="2025-10-11T00:00:00"/>
    <x v="4"/>
    <x v="2"/>
    <n v="1351.61"/>
    <n v="295"/>
    <n v="66"/>
    <x v="1"/>
    <n v="10"/>
    <n v="0.223728813559322"/>
    <s v="High"/>
    <n v="4.5817288135593204"/>
    <n v="20.478939393939399"/>
  </r>
  <r>
    <s v="CMP0004"/>
    <d v="2025-06-10T00:00:00"/>
    <x v="2"/>
    <x v="6"/>
    <n v="2984.14"/>
    <n v="517"/>
    <n v="110"/>
    <x v="1"/>
    <n v="6"/>
    <n v="0.21276595744680901"/>
    <s v="High"/>
    <n v="5.7720309477756304"/>
    <n v="27.128545454545499"/>
  </r>
  <r>
    <s v="CMP0172"/>
    <d v="2025-11-11T00:00:00"/>
    <x v="3"/>
    <x v="6"/>
    <n v="895.61"/>
    <n v="426"/>
    <n v="41"/>
    <x v="1"/>
    <n v="11"/>
    <n v="9.6244131455399104E-2"/>
    <s v="Low"/>
    <n v="2.1023708920187798"/>
    <n v="21.8441463414634"/>
  </r>
  <r>
    <s v="CMP0140"/>
    <d v="2025-03-29T00:00:00"/>
    <x v="4"/>
    <x v="0"/>
    <n v="3589.39"/>
    <n v="740"/>
    <n v="168"/>
    <x v="1"/>
    <n v="3"/>
    <n v="0.22702702702702701"/>
    <s v="High"/>
    <n v="4.85052702702703"/>
    <n v="21.3654166666667"/>
  </r>
  <r>
    <s v="CMP0072"/>
    <d v="2025-12-04T00:00:00"/>
    <x v="4"/>
    <x v="0"/>
    <n v="3437.29"/>
    <n v="525"/>
    <n v="158"/>
    <x v="1"/>
    <n v="12"/>
    <n v="0.30095238095238103"/>
    <s v="High"/>
    <n v="6.5472190476190502"/>
    <n v="21.754999999999999"/>
  </r>
  <r>
    <s v="CMP0256"/>
    <d v="2026-03-26T00:00:00"/>
    <x v="5"/>
    <x v="0"/>
    <n v="2604.7199999999998"/>
    <n v="214"/>
    <n v="73"/>
    <x v="0"/>
    <n v="3"/>
    <n v="0.34112149532710301"/>
    <s v="High"/>
    <n v="12.171588785046699"/>
    <n v="35.681095890411001"/>
  </r>
  <r>
    <s v="CMP0205"/>
    <d v="2026-01-23T00:00:00"/>
    <x v="2"/>
    <x v="0"/>
    <n v="2106.4499999999998"/>
    <n v="520"/>
    <n v="85"/>
    <x v="0"/>
    <n v="1"/>
    <n v="0.16346153846153899"/>
    <s v="Low"/>
    <n v="4.0508653846153804"/>
    <n v="24.781764705882399"/>
  </r>
  <r>
    <s v="CMP0190"/>
    <d v="2026-03-28T00:00:00"/>
    <x v="1"/>
    <x v="2"/>
    <n v="3757.81"/>
    <n v="399"/>
    <n v="52"/>
    <x v="0"/>
    <n v="3"/>
    <n v="0.13032581453634101"/>
    <s v="Low"/>
    <n v="9.4180701754386007"/>
    <n v="72.265576923076907"/>
  </r>
  <r>
    <s v="CMP0053"/>
    <d v="2025-04-19T00:00:00"/>
    <x v="3"/>
    <x v="2"/>
    <n v="758.47"/>
    <n v="150"/>
    <n v="33"/>
    <x v="1"/>
    <n v="4"/>
    <n v="0.22"/>
    <s v="High"/>
    <n v="5.0564666666666698"/>
    <n v="22.983939393939401"/>
  </r>
  <r>
    <s v="CMP0235"/>
    <d v="2025-02-13T00:00:00"/>
    <x v="0"/>
    <x v="2"/>
    <n v="3453.41"/>
    <n v="860"/>
    <n v="230"/>
    <x v="1"/>
    <n v="2"/>
    <n v="0.26744186046511598"/>
    <s v="High"/>
    <n v="4.0155930232558097"/>
    <n v="15.0148260869565"/>
  </r>
  <r>
    <s v="CMP0101"/>
    <d v="2025-05-08T00:00:00"/>
    <x v="1"/>
    <x v="5"/>
    <n v="3113.76"/>
    <n v="646"/>
    <n v="184"/>
    <x v="1"/>
    <n v="5"/>
    <n v="0.284829721362229"/>
    <s v="High"/>
    <n v="4.8200619195046404"/>
    <n v="16.922608695652201"/>
  </r>
  <r>
    <s v="CMP0070"/>
    <d v="2025-03-31T00:00:00"/>
    <x v="5"/>
    <x v="2"/>
    <n v="2706.78"/>
    <n v="224"/>
    <n v="30"/>
    <x v="1"/>
    <n v="3"/>
    <n v="0.13392857142857101"/>
    <s v="Low"/>
    <n v="12.0838392857143"/>
    <n v="90.225999999999999"/>
  </r>
  <r>
    <s v="CMP0155"/>
    <d v="2025-07-07T00:00:00"/>
    <x v="1"/>
    <x v="0"/>
    <n v="2406.87"/>
    <n v="496"/>
    <n v="96"/>
    <x v="1"/>
    <n v="7"/>
    <n v="0.19354838709677399"/>
    <s v="High"/>
    <n v="4.8525604838709704"/>
    <n v="25.071562499999999"/>
  </r>
  <r>
    <s v="CMP0211"/>
    <d v="2026-01-12T00:00:00"/>
    <x v="1"/>
    <x v="2"/>
    <n v="2269.65"/>
    <n v="233"/>
    <n v="23"/>
    <x v="0"/>
    <n v="1"/>
    <n v="9.8712446351931299E-2"/>
    <s v="Low"/>
    <n v="9.7409871244635209"/>
    <n v="98.6804347826087"/>
  </r>
  <r>
    <s v="CMP0163"/>
    <d v="2025-08-14T00:00:00"/>
    <x v="2"/>
    <x v="2"/>
    <n v="1957.35"/>
    <n v="435"/>
    <n v="49"/>
    <x v="1"/>
    <n v="8"/>
    <n v="0.11264367816092"/>
    <s v="Low"/>
    <n v="4.4996551724137896"/>
    <n v="39.945918367346898"/>
  </r>
  <r>
    <s v="CMP0252"/>
    <d v="2025-12-14T00:00:00"/>
    <x v="2"/>
    <x v="2"/>
    <n v="4875.24"/>
    <n v="1160"/>
    <n v="174"/>
    <x v="1"/>
    <n v="12"/>
    <n v="0.15"/>
    <s v="Low"/>
    <n v="4.2027931034482799"/>
    <n v="28.018620689655201"/>
  </r>
  <r>
    <s v="CMP0015"/>
    <d v="2026-01-06T00:00:00"/>
    <x v="1"/>
    <x v="6"/>
    <n v="1839.96"/>
    <n v="417"/>
    <n v="417"/>
    <x v="0"/>
    <n v="1"/>
    <n v="1"/>
    <s v="High"/>
    <n v="4.4123741007194299"/>
    <n v="4.4123741007194299"/>
  </r>
  <r>
    <s v="CMP0192"/>
    <d v="2025-01-28T00:00:00"/>
    <x v="0"/>
    <x v="1"/>
    <n v="4324.55"/>
    <n v="801"/>
    <n v="155"/>
    <x v="1"/>
    <n v="1"/>
    <n v="0.19350811485642999"/>
    <s v="High"/>
    <n v="5.39893882646692"/>
    <n v="27.900322580645199"/>
  </r>
  <r>
    <s v="CMP0243"/>
    <d v="2025-10-25T00:00:00"/>
    <x v="2"/>
    <x v="2"/>
    <n v="2066.77"/>
    <n v="191"/>
    <n v="15"/>
    <x v="1"/>
    <n v="10"/>
    <n v="7.8534031413612607E-2"/>
    <s v="Low"/>
    <n v="10.820785340314099"/>
    <n v="137.78466666666699"/>
  </r>
  <r>
    <s v="CMP0126"/>
    <d v="2026-03-22T00:00:00"/>
    <x v="4"/>
    <x v="0"/>
    <n v="4671.55"/>
    <n v="447"/>
    <n v="104"/>
    <x v="0"/>
    <n v="3"/>
    <n v="0.23266219239373601"/>
    <s v="High"/>
    <n v="10.4508948545861"/>
    <n v="44.918750000000003"/>
  </r>
  <r>
    <s v="CMP0056"/>
    <d v="2026-05-05T00:00:00"/>
    <x v="2"/>
    <x v="1"/>
    <n v="1554.65"/>
    <n v="330"/>
    <n v="73"/>
    <x v="0"/>
    <n v="5"/>
    <n v="0.221212121212121"/>
    <s v="High"/>
    <n v="4.7110606060606104"/>
    <n v="21.2965753424658"/>
  </r>
  <r>
    <s v="CMP0034"/>
    <d v="2025-10-31T00:00:00"/>
    <x v="0"/>
    <x v="0"/>
    <n v="1486.86"/>
    <n v="163"/>
    <n v="44"/>
    <x v="1"/>
    <n v="10"/>
    <n v="0.26993865030674902"/>
    <s v="High"/>
    <n v="9.1218404907975508"/>
    <n v="33.792272727272703"/>
  </r>
  <r>
    <s v="CMP0026"/>
    <d v="2026-05-07T00:00:00"/>
    <x v="0"/>
    <x v="0"/>
    <n v="4162.01"/>
    <n v="572"/>
    <n v="103"/>
    <x v="0"/>
    <n v="5"/>
    <n v="0.18006993006993"/>
    <s v="Low"/>
    <n v="7.2762412587412602"/>
    <n v="40.407864077669899"/>
  </r>
  <r>
    <s v="CMP0276"/>
    <d v="2025-07-31T00:00:00"/>
    <x v="3"/>
    <x v="0"/>
    <n v="4816.16"/>
    <n v="1036"/>
    <n v="207"/>
    <x v="1"/>
    <n v="7"/>
    <n v="0.19980694980694999"/>
    <s v="High"/>
    <n v="4.6488030888030902"/>
    <n v="23.266473429951699"/>
  </r>
  <r>
    <s v="CMP0128"/>
    <d v="2025-02-21T00:00:00"/>
    <x v="0"/>
    <x v="0"/>
    <n v="2869.4949999999999"/>
    <n v="520"/>
    <n v="147"/>
    <x v="1"/>
    <n v="2"/>
    <n v="0.28269230769230802"/>
    <s v="High"/>
    <n v="5.5182596153846202"/>
    <n v="19.520374149659901"/>
  </r>
  <r>
    <s v="NEW0009"/>
    <d v="2025-09-04T00:00:00"/>
    <x v="0"/>
    <x v="2"/>
    <n v="3197.3"/>
    <n v="300"/>
    <n v="78"/>
    <x v="1"/>
    <n v="9"/>
    <n v="0.26"/>
    <s v="High"/>
    <n v="10.657666666666699"/>
    <n v="40.991025641025601"/>
  </r>
  <r>
    <s v="CMP0273"/>
    <d v="2026-04-12T00:00:00"/>
    <x v="0"/>
    <x v="6"/>
    <n v="2869.4949999999999"/>
    <n v="750"/>
    <n v="183"/>
    <x v="0"/>
    <n v="4"/>
    <n v="0.24399999999999999"/>
    <s v="High"/>
    <n v="3.8259933333333298"/>
    <n v="15.6803005464481"/>
  </r>
  <r>
    <s v="NEW0010"/>
    <d v="2026-04-06T00:00:00"/>
    <x v="2"/>
    <x v="0"/>
    <n v="4360.6899999999996"/>
    <n v="883"/>
    <n v="151"/>
    <x v="0"/>
    <n v="4"/>
    <n v="0.171007927519819"/>
    <s v="Low"/>
    <n v="4.9384937712344303"/>
    <n v="28.878741721854301"/>
  </r>
  <r>
    <s v="CMP0064"/>
    <d v="2026-02-22T00:00:00"/>
    <x v="0"/>
    <x v="0"/>
    <n v="509.05"/>
    <n v="426"/>
    <n v="15"/>
    <x v="0"/>
    <n v="2"/>
    <n v="3.5211267605633798E-2"/>
    <s v="Low"/>
    <n v="1.1949530516431901"/>
    <n v="33.936666666666703"/>
  </r>
  <r>
    <s v="CMP0253"/>
    <d v="2025-07-18T00:00:00"/>
    <x v="5"/>
    <x v="4"/>
    <n v="3099.62"/>
    <n v="260"/>
    <n v="24"/>
    <x v="1"/>
    <n v="7"/>
    <n v="9.2307692307692299E-2"/>
    <s v="Low"/>
    <n v="11.9216153846154"/>
    <n v="129.150833333333"/>
  </r>
  <r>
    <s v="CMP0189"/>
    <d v="2026-01-24T00:00:00"/>
    <x v="0"/>
    <x v="1"/>
    <n v="1406.28"/>
    <n v="308"/>
    <n v="84"/>
    <x v="0"/>
    <n v="1"/>
    <n v="0.27272727272727298"/>
    <s v="High"/>
    <n v="4.56584415584416"/>
    <n v="16.7414285714286"/>
  </r>
  <r>
    <s v="CMP0225"/>
    <d v="2026-05-23T00:00:00"/>
    <x v="2"/>
    <x v="6"/>
    <n v="3075.69"/>
    <n v="253"/>
    <n v="49"/>
    <x v="0"/>
    <n v="5"/>
    <n v="0.19367588932806301"/>
    <s v="High"/>
    <n v="12.156877470355701"/>
    <n v="62.769183673469399"/>
  </r>
  <r>
    <s v="CMP0255"/>
    <d v="2025-10-11T00:00:00"/>
    <x v="5"/>
    <x v="0"/>
    <n v="1058.8800000000001"/>
    <n v="160"/>
    <n v="10"/>
    <x v="1"/>
    <n v="10"/>
    <n v="6.25E-2"/>
    <s v="Low"/>
    <n v="6.6180000000000003"/>
    <n v="105.88800000000001"/>
  </r>
  <r>
    <s v="CMP0186"/>
    <d v="2025-02-06T00:00:00"/>
    <x v="5"/>
    <x v="0"/>
    <n v="1708.14"/>
    <n v="384"/>
    <n v="30"/>
    <x v="1"/>
    <n v="2"/>
    <n v="7.8125E-2"/>
    <s v="Low"/>
    <n v="4.44828125"/>
    <n v="56.938000000000002"/>
  </r>
  <r>
    <s v="CMP0158"/>
    <d v="2026-02-13T00:00:00"/>
    <x v="0"/>
    <x v="1"/>
    <n v="3360.35"/>
    <n v="731"/>
    <n v="210"/>
    <x v="0"/>
    <n v="2"/>
    <n v="0.28727770177838602"/>
    <s v="High"/>
    <n v="4.5969220246238001"/>
    <n v="16.001666666666701"/>
  </r>
  <r>
    <s v="CMP0129"/>
    <d v="2026-04-20T00:00:00"/>
    <x v="2"/>
    <x v="2"/>
    <n v="4637.84"/>
    <n v="586"/>
    <n v="67"/>
    <x v="0"/>
    <n v="4"/>
    <n v="0.114334470989761"/>
    <s v="Low"/>
    <n v="7.9144027303754303"/>
    <n v="69.221492537313395"/>
  </r>
  <r>
    <s v="CMP0146"/>
    <d v="2026-07-22T00:00:00"/>
    <x v="2"/>
    <x v="2"/>
    <n v="2869.4949999999999"/>
    <n v="756"/>
    <n v="94"/>
    <x v="0"/>
    <n v="7"/>
    <n v="0.124338624338624"/>
    <s v="Low"/>
    <n v="3.7956283068783101"/>
    <n v="30.526542553191501"/>
  </r>
  <r>
    <s v="CMP0054"/>
    <d v="2026-03-20T00:00:00"/>
    <x v="2"/>
    <x v="2"/>
    <n v="564.82000000000005"/>
    <n v="92"/>
    <n v="16"/>
    <x v="0"/>
    <n v="3"/>
    <n v="0.173913043478261"/>
    <s v="Low"/>
    <n v="6.1393478260869596"/>
    <n v="35.301250000000003"/>
  </r>
  <r>
    <s v="CMP0174"/>
    <d v="2026-01-28T00:00:00"/>
    <x v="3"/>
    <x v="4"/>
    <n v="4084.51"/>
    <n v="978"/>
    <n v="175"/>
    <x v="0"/>
    <n v="1"/>
    <n v="0.178936605316973"/>
    <s v="Low"/>
    <n v="4.1763905930470404"/>
    <n v="23.340057142857098"/>
  </r>
  <r>
    <s v="CMP0223"/>
    <d v="2025-09-26T00:00:00"/>
    <x v="1"/>
    <x v="2"/>
    <n v="2963.92"/>
    <n v="728"/>
    <n v="109"/>
    <x v="1"/>
    <n v="9"/>
    <n v="0.149725274725275"/>
    <s v="Low"/>
    <n v="4.0713186813186804"/>
    <n v="27.191926605504602"/>
  </r>
  <r>
    <s v="CMP0202"/>
    <d v="2025-11-26T00:00:00"/>
    <x v="3"/>
    <x v="1"/>
    <n v="4031.15"/>
    <n v="324"/>
    <n v="73"/>
    <x v="1"/>
    <n v="11"/>
    <n v="0.225308641975309"/>
    <s v="High"/>
    <n v="12.4418209876543"/>
    <n v="55.2212328767123"/>
  </r>
  <r>
    <s v="CMP0261"/>
    <d v="2025-10-11T00:00:00"/>
    <x v="2"/>
    <x v="1"/>
    <n v="2638.6"/>
    <n v="350"/>
    <n v="52"/>
    <x v="1"/>
    <n v="10"/>
    <n v="0.14857142857142899"/>
    <s v="Low"/>
    <n v="7.5388571428571396"/>
    <n v="50.742307692307698"/>
  </r>
  <r>
    <s v="CMP0024"/>
    <d v="2025-01-25T00:00:00"/>
    <x v="5"/>
    <x v="0"/>
    <n v="3839.36"/>
    <n v="676"/>
    <n v="32"/>
    <x v="1"/>
    <n v="1"/>
    <n v="4.7337278106508902E-2"/>
    <s v="Low"/>
    <n v="5.67952662721894"/>
    <n v="119.98"/>
  </r>
  <r>
    <s v="CMP0170"/>
    <d v="2025-02-21T00:00:00"/>
    <x v="2"/>
    <x v="0"/>
    <n v="419.97"/>
    <n v="46"/>
    <n v="6"/>
    <x v="1"/>
    <n v="2"/>
    <n v="0.13043478260869601"/>
    <s v="Low"/>
    <n v="9.1297826086956508"/>
    <n v="69.995000000000005"/>
  </r>
  <r>
    <s v="CMP0127"/>
    <d v="2025-01-03T00:00:00"/>
    <x v="2"/>
    <x v="0"/>
    <n v="2033.78"/>
    <n v="454"/>
    <n v="63"/>
    <x v="1"/>
    <n v="1"/>
    <n v="0.13876651982378899"/>
    <s v="Low"/>
    <n v="4.4796916299559504"/>
    <n v="32.282222222222202"/>
  </r>
  <r>
    <s v="CMP0074"/>
    <d v="2025-06-22T00:00:00"/>
    <x v="3"/>
    <x v="2"/>
    <n v="2615.8200000000002"/>
    <n v="529"/>
    <n v="102"/>
    <x v="1"/>
    <n v="6"/>
    <n v="0.19281663516068101"/>
    <s v="High"/>
    <n v="4.9448393194706997"/>
    <n v="25.645294117647101"/>
  </r>
  <r>
    <s v="CMP0106"/>
    <d v="2026-07-15T00:00:00"/>
    <x v="0"/>
    <x v="4"/>
    <n v="4146.0600000000004"/>
    <n v="668"/>
    <n v="192"/>
    <x v="0"/>
    <n v="7"/>
    <n v="0.28742514970059901"/>
    <s v="High"/>
    <n v="6.2066766467065904"/>
    <n v="21.5940625"/>
  </r>
  <r>
    <s v="CMP0178"/>
    <d v="2025-05-20T00:00:00"/>
    <x v="3"/>
    <x v="5"/>
    <n v="2869.4949999999999"/>
    <n v="64"/>
    <n v="12"/>
    <x v="1"/>
    <n v="5"/>
    <n v="0.1875"/>
    <s v="Low"/>
    <n v="44.835859374999998"/>
    <n v="239.12458333333299"/>
  </r>
  <r>
    <s v="CMP0133"/>
    <d v="2026-05-15T00:00:00"/>
    <x v="2"/>
    <x v="0"/>
    <n v="3851.93"/>
    <n v="472"/>
    <n v="37"/>
    <x v="0"/>
    <n v="5"/>
    <n v="7.8389830508474603E-2"/>
    <s v="Low"/>
    <n v="8.1608686440678007"/>
    <n v="104.106216216216"/>
  </r>
  <r>
    <s v="NEW0011"/>
    <d v="2026-01-21T00:00:00"/>
    <x v="0"/>
    <x v="6"/>
    <n v="2903.71"/>
    <n v="352"/>
    <n v="114"/>
    <x v="0"/>
    <n v="1"/>
    <n v="0.32386363636363602"/>
    <s v="High"/>
    <n v="8.2491761363636407"/>
    <n v="25.471140350877199"/>
  </r>
  <r>
    <s v="CMP0078"/>
    <d v="2026-05-12T00:00:00"/>
    <x v="0"/>
    <x v="1"/>
    <n v="2869.4949999999999"/>
    <n v="501"/>
    <n v="140"/>
    <x v="0"/>
    <n v="5"/>
    <n v="0.279441117764471"/>
    <s v="High"/>
    <n v="5.7275349301397203"/>
    <n v="20.496392857142901"/>
  </r>
  <r>
    <s v="CMP0245"/>
    <d v="2025-06-30T00:00:00"/>
    <x v="3"/>
    <x v="0"/>
    <n v="4645.7299999999996"/>
    <n v="402"/>
    <n v="96"/>
    <x v="1"/>
    <n v="6"/>
    <n v="0.238805970149254"/>
    <s v="High"/>
    <n v="11.5565422885572"/>
    <n v="48.393020833333303"/>
  </r>
  <r>
    <s v="CMP0290"/>
    <d v="2026-07-04T00:00:00"/>
    <x v="2"/>
    <x v="0"/>
    <n v="3317.64"/>
    <n v="470"/>
    <n v="42"/>
    <x v="0"/>
    <n v="7"/>
    <n v="8.9361702127659606E-2"/>
    <s v="Low"/>
    <n v="7.0588085106382996"/>
    <n v="78.9914285714286"/>
  </r>
  <r>
    <s v="CMP0258"/>
    <d v="2025-03-09T00:00:00"/>
    <x v="0"/>
    <x v="2"/>
    <n v="1789.2"/>
    <n v="221"/>
    <n v="73"/>
    <x v="1"/>
    <n v="3"/>
    <n v="0.33031674208144801"/>
    <s v="High"/>
    <n v="8.0959276018099509"/>
    <n v="24.5095890410959"/>
  </r>
  <r>
    <s v="CMP0071"/>
    <d v="2026-02-06T00:00:00"/>
    <x v="0"/>
    <x v="4"/>
    <n v="2206.5300000000002"/>
    <n v="239"/>
    <n v="52"/>
    <x v="0"/>
    <n v="2"/>
    <n v="0.21757322175732199"/>
    <s v="High"/>
    <n v="9.2323430962343096"/>
    <n v="42.433269230769199"/>
  </r>
  <r>
    <s v="CMP0233"/>
    <d v="2025-05-03T00:00:00"/>
    <x v="0"/>
    <x v="2"/>
    <n v="2558.88"/>
    <n v="239"/>
    <n v="64"/>
    <x v="1"/>
    <n v="5"/>
    <n v="0.26778242677824299"/>
    <s v="High"/>
    <n v="10.706610878661101"/>
    <n v="39.982500000000002"/>
  </r>
  <r>
    <s v="CMP0251"/>
    <d v="2025-10-11T00:00:00"/>
    <x v="0"/>
    <x v="1"/>
    <n v="285.8"/>
    <n v="69"/>
    <n v="16"/>
    <x v="1"/>
    <n v="10"/>
    <n v="0.231884057971015"/>
    <s v="High"/>
    <n v="4.1420289855072498"/>
    <n v="17.862500000000001"/>
  </r>
  <r>
    <s v="CMP0203"/>
    <d v="2025-10-11T00:00:00"/>
    <x v="5"/>
    <x v="4"/>
    <n v="4400.18"/>
    <n v="973"/>
    <n v="59"/>
    <x v="1"/>
    <n v="10"/>
    <n v="6.0637204522096602E-2"/>
    <s v="Low"/>
    <n v="4.5222816032887998"/>
    <n v="74.579322033898293"/>
  </r>
  <r>
    <s v="CMP0097"/>
    <d v="2025-06-22T00:00:00"/>
    <x v="0"/>
    <x v="4"/>
    <n v="405.35"/>
    <n v="51"/>
    <n v="12"/>
    <x v="1"/>
    <n v="6"/>
    <n v="0.23529411764705899"/>
    <s v="High"/>
    <n v="7.94803921568628"/>
    <n v="33.779166666666697"/>
  </r>
  <r>
    <s v="CMP0130"/>
    <d v="2025-11-25T00:00:00"/>
    <x v="5"/>
    <x v="2"/>
    <n v="2575.3200000000002"/>
    <n v="228"/>
    <n v="28"/>
    <x v="1"/>
    <n v="11"/>
    <n v="0.12280701754386"/>
    <s v="Low"/>
    <n v="11.2952631578947"/>
    <n v="91.975714285714304"/>
  </r>
  <r>
    <s v="CMP0150"/>
    <d v="2025-09-12T00:00:00"/>
    <x v="0"/>
    <x v="0"/>
    <n v="4144.67"/>
    <n v="426"/>
    <n v="185"/>
    <x v="1"/>
    <n v="9"/>
    <n v="0.43427230046948401"/>
    <s v="High"/>
    <n v="9.7292723004694803"/>
    <n v="22.4036216216216"/>
  </r>
  <r>
    <s v="NEW0012"/>
    <d v="2025-11-24T00:00:00"/>
    <x v="0"/>
    <x v="2"/>
    <n v="1564.78"/>
    <n v="365"/>
    <n v="105"/>
    <x v="1"/>
    <n v="11"/>
    <n v="0.28767123287671198"/>
    <s v="High"/>
    <n v="4.2870684931506897"/>
    <n v="14.9026666666667"/>
  </r>
  <r>
    <s v="CMP0151"/>
    <d v="2026-07-12T00:00:00"/>
    <x v="5"/>
    <x v="0"/>
    <n v="3332.51"/>
    <n v="781"/>
    <n v="107"/>
    <x v="0"/>
    <n v="7"/>
    <n v="0.13700384122919301"/>
    <s v="Low"/>
    <n v="4.2669782330345702"/>
    <n v="31.144953271028001"/>
  </r>
  <r>
    <s v="CMP0067"/>
    <d v="2025-02-04T00:00:00"/>
    <x v="0"/>
    <x v="1"/>
    <n v="3849.68"/>
    <n v="650"/>
    <n v="159"/>
    <x v="1"/>
    <n v="2"/>
    <n v="0.24461538461538501"/>
    <s v="High"/>
    <n v="5.9225846153846202"/>
    <n v="24.211823899371101"/>
  </r>
  <r>
    <s v="CMP0079"/>
    <d v="2025-04-30T00:00:00"/>
    <x v="0"/>
    <x v="6"/>
    <n v="1025.83"/>
    <n v="98"/>
    <n v="26"/>
    <x v="1"/>
    <n v="4"/>
    <n v="0.26530612244898"/>
    <s v="High"/>
    <n v="10.4676530612245"/>
    <n v="39.454999999999998"/>
  </r>
  <r>
    <s v="CMP0009"/>
    <d v="2025-06-28T00:00:00"/>
    <x v="4"/>
    <x v="2"/>
    <n v="2097.84"/>
    <n v="308"/>
    <n v="81"/>
    <x v="1"/>
    <n v="6"/>
    <n v="0.26298701298701299"/>
    <s v="High"/>
    <n v="6.8111688311688301"/>
    <n v="25.899259259259299"/>
  </r>
  <r>
    <s v="CMP0135"/>
    <d v="2026-07-02T00:00:00"/>
    <x v="4"/>
    <x v="0"/>
    <n v="614.20000000000005"/>
    <n v="426"/>
    <n v="24"/>
    <x v="0"/>
    <n v="7"/>
    <n v="5.63380281690141E-2"/>
    <s v="Low"/>
    <n v="1.4417840375586899"/>
    <n v="25.591666666666701"/>
  </r>
  <r>
    <s v="CMP0221"/>
    <d v="2025-09-23T00:00:00"/>
    <x v="0"/>
    <x v="0"/>
    <n v="260.11"/>
    <n v="48"/>
    <n v="48"/>
    <x v="1"/>
    <n v="9"/>
    <n v="1"/>
    <s v="High"/>
    <n v="5.4189583333333298"/>
    <n v="5.4189583333333298"/>
  </r>
  <r>
    <s v="CMP0136"/>
    <d v="2026-06-30T00:00:00"/>
    <x v="2"/>
    <x v="1"/>
    <n v="4747.93"/>
    <n v="1026"/>
    <n v="112"/>
    <x v="0"/>
    <n v="6"/>
    <n v="0.10916179337232"/>
    <s v="Low"/>
    <n v="4.6276120857699796"/>
    <n v="42.392232142857203"/>
  </r>
  <r>
    <s v="CMP0117"/>
    <d v="2025-12-29T00:00:00"/>
    <x v="5"/>
    <x v="0"/>
    <n v="4762.8900000000003"/>
    <n v="976"/>
    <n v="131"/>
    <x v="1"/>
    <n v="12"/>
    <n v="0.13422131147541"/>
    <s v="Low"/>
    <n v="4.8800102459016399"/>
    <n v="36.357938931297703"/>
  </r>
  <r>
    <s v="CMP0265"/>
    <d v="2026-04-01T00:00:00"/>
    <x v="0"/>
    <x v="0"/>
    <n v="2584.02"/>
    <n v="362"/>
    <n v="97"/>
    <x v="0"/>
    <n v="4"/>
    <n v="0.26795580110497202"/>
    <s v="High"/>
    <n v="7.1381767955801099"/>
    <n v="26.639381443299001"/>
  </r>
  <r>
    <s v="CMP0065"/>
    <d v="2026-03-31T00:00:00"/>
    <x v="4"/>
    <x v="6"/>
    <n v="4009.21"/>
    <n v="513"/>
    <n v="143"/>
    <x v="0"/>
    <n v="3"/>
    <n v="0.27875243664717397"/>
    <s v="High"/>
    <n v="7.8152241715399597"/>
    <n v="28.036433566433601"/>
  </r>
  <r>
    <s v="CMP0247"/>
    <d v="2026-07-06T00:00:00"/>
    <x v="5"/>
    <x v="3"/>
    <n v="1877.5"/>
    <n v="306"/>
    <n v="41"/>
    <x v="0"/>
    <n v="7"/>
    <n v="0.13398692810457499"/>
    <s v="Low"/>
    <n v="6.1356209150326801"/>
    <n v="45.792682926829301"/>
  </r>
  <r>
    <s v="CMP0199"/>
    <d v="2025-08-09T00:00:00"/>
    <x v="5"/>
    <x v="1"/>
    <n v="1584.15"/>
    <n v="220"/>
    <n v="32"/>
    <x v="1"/>
    <n v="8"/>
    <n v="0.145454545454545"/>
    <s v="Low"/>
    <n v="7.2006818181818204"/>
    <n v="49.504687500000003"/>
  </r>
  <r>
    <s v="CMP0016"/>
    <d v="2025-10-09T00:00:00"/>
    <x v="0"/>
    <x v="2"/>
    <n v="1442.63"/>
    <n v="426"/>
    <n v="52"/>
    <x v="1"/>
    <n v="10"/>
    <n v="0.122065727699531"/>
    <s v="Low"/>
    <n v="3.3864553990610302"/>
    <n v="27.7428846153846"/>
  </r>
  <r>
    <s v="CMP0020"/>
    <d v="2025-11-27T00:00:00"/>
    <x v="2"/>
    <x v="3"/>
    <n v="3928.3"/>
    <n v="951"/>
    <n v="145"/>
    <x v="1"/>
    <n v="11"/>
    <n v="0.15247108307045201"/>
    <s v="Low"/>
    <n v="4.1307045215562601"/>
    <n v="27.091724137930999"/>
  </r>
  <r>
    <s v="CMP0171"/>
    <d v="2026-05-02T00:00:00"/>
    <x v="3"/>
    <x v="2"/>
    <n v="348.31"/>
    <n v="34"/>
    <n v="7"/>
    <x v="0"/>
    <n v="5"/>
    <n v="0.20588235294117699"/>
    <s v="High"/>
    <n v="10.2444117647059"/>
    <n v="49.7585714285714"/>
  </r>
  <r>
    <s v="CMP0062"/>
    <d v="2026-04-03T00:00:00"/>
    <x v="4"/>
    <x v="2"/>
    <n v="4826.55"/>
    <n v="1104"/>
    <n v="238"/>
    <x v="0"/>
    <n v="4"/>
    <n v="0.21557971014492799"/>
    <s v="High"/>
    <n v="4.3718750000000002"/>
    <n v="20.279621848739499"/>
  </r>
  <r>
    <s v="CMP0263"/>
    <d v="2026-03-24T00:00:00"/>
    <x v="4"/>
    <x v="6"/>
    <n v="753.03"/>
    <n v="100"/>
    <n v="28"/>
    <x v="0"/>
    <n v="3"/>
    <n v="0.28000000000000003"/>
    <s v="High"/>
    <n v="7.5303000000000004"/>
    <n v="26.893928571428599"/>
  </r>
  <r>
    <s v="CMP0019"/>
    <d v="2025-09-10T00:00:00"/>
    <x v="3"/>
    <x v="0"/>
    <n v="4334.1899999999996"/>
    <n v="584"/>
    <n v="73"/>
    <x v="1"/>
    <n v="9"/>
    <n v="0.125"/>
    <s v="Low"/>
    <n v="7.4215582191780802"/>
    <n v="59.372465753424699"/>
  </r>
  <r>
    <s v="CMP0059"/>
    <d v="2025-10-29T00:00:00"/>
    <x v="0"/>
    <x v="5"/>
    <n v="4216.49"/>
    <n v="1050"/>
    <n v="265"/>
    <x v="1"/>
    <n v="10"/>
    <n v="0.25238095238095198"/>
    <s v="High"/>
    <n v="4.0157047619047601"/>
    <n v="15.9112830188679"/>
  </r>
  <r>
    <s v="CMP0143"/>
    <d v="2025-05-30T00:00:00"/>
    <x v="0"/>
    <x v="0"/>
    <n v="2326.2600000000002"/>
    <n v="516"/>
    <n v="144"/>
    <x v="1"/>
    <n v="5"/>
    <n v="0.27906976744186102"/>
    <s v="High"/>
    <n v="4.5082558139534896"/>
    <n v="16.154583333333299"/>
  </r>
  <r>
    <s v="CMP0044"/>
    <d v="2025-05-08T00:00:00"/>
    <x v="3"/>
    <x v="3"/>
    <n v="301.43"/>
    <n v="43"/>
    <n v="8"/>
    <x v="1"/>
    <n v="5"/>
    <n v="0.186046511627907"/>
    <s v="Low"/>
    <n v="7.01"/>
    <n v="37.678750000000001"/>
  </r>
  <r>
    <s v="CMP0068"/>
    <d v="2025-02-21T00:00:00"/>
    <x v="5"/>
    <x v="1"/>
    <n v="4745.71"/>
    <n v="825"/>
    <n v="114"/>
    <x v="1"/>
    <n v="2"/>
    <n v="0.13818181818181799"/>
    <s v="Low"/>
    <n v="5.7523757575757601"/>
    <n v="41.629035087719302"/>
  </r>
  <r>
    <s v="CMP0220"/>
    <d v="2026-02-17T00:00:00"/>
    <x v="2"/>
    <x v="0"/>
    <n v="1644.74"/>
    <n v="381"/>
    <n v="46"/>
    <x v="0"/>
    <n v="2"/>
    <n v="0.12073490813648299"/>
    <s v="Low"/>
    <n v="4.3169028871391104"/>
    <n v="35.755217391304399"/>
  </r>
  <r>
    <s v="CMP0168"/>
    <d v="2026-06-03T00:00:00"/>
    <x v="4"/>
    <x v="3"/>
    <n v="1125.1600000000001"/>
    <n v="131"/>
    <n v="25"/>
    <x v="0"/>
    <n v="6"/>
    <n v="0.19083969465648901"/>
    <s v="High"/>
    <n v="8.5890076335877907"/>
    <n v="45.006399999999999"/>
  </r>
  <r>
    <s v="CMP0057"/>
    <d v="2025-12-20T00:00:00"/>
    <x v="2"/>
    <x v="5"/>
    <n v="4825.67"/>
    <n v="468"/>
    <n v="73"/>
    <x v="1"/>
    <n v="12"/>
    <n v="0.15598290598290601"/>
    <s v="Low"/>
    <n v="10.3112606837607"/>
    <n v="66.105068493150696"/>
  </r>
  <r>
    <s v="CMP0267"/>
    <d v="2026-01-15T00:00:00"/>
    <x v="2"/>
    <x v="3"/>
    <n v="3047.74"/>
    <n v="711"/>
    <n v="153"/>
    <x v="0"/>
    <n v="1"/>
    <n v="0.215189873417722"/>
    <s v="High"/>
    <n v="4.2865541490857897"/>
    <n v="19.919869281045798"/>
  </r>
  <r>
    <s v="CMP0138"/>
    <d v="2026-01-29T00:00:00"/>
    <x v="2"/>
    <x v="3"/>
    <n v="475.03"/>
    <n v="70"/>
    <n v="12"/>
    <x v="0"/>
    <n v="1"/>
    <n v="0.17142857142857101"/>
    <s v="Low"/>
    <n v="6.7861428571428597"/>
    <n v="39.585833333333298"/>
  </r>
  <r>
    <s v="CMP0161"/>
    <d v="2025-03-29T00:00:00"/>
    <x v="5"/>
    <x v="2"/>
    <n v="4021.93"/>
    <n v="426"/>
    <n v="37"/>
    <x v="1"/>
    <n v="3"/>
    <n v="8.6854460093896704E-2"/>
    <s v="Low"/>
    <n v="9.4411502347417802"/>
    <n v="108.70081081081101"/>
  </r>
  <r>
    <s v="CMP0029"/>
    <d v="2026-05-06T00:00:00"/>
    <x v="0"/>
    <x v="3"/>
    <n v="1235.7"/>
    <n v="130"/>
    <n v="26"/>
    <x v="0"/>
    <n v="5"/>
    <n v="0.2"/>
    <s v="High"/>
    <n v="9.5053846153846209"/>
    <n v="47.526923076923097"/>
  </r>
  <r>
    <s v="NEW0013"/>
    <d v="2025-12-07T00:00:00"/>
    <x v="2"/>
    <x v="5"/>
    <n v="1206.3900000000001"/>
    <n v="151"/>
    <n v="7"/>
    <x v="1"/>
    <n v="12"/>
    <n v="4.6357615894039701E-2"/>
    <s v="Low"/>
    <n v="7.9893377483443704"/>
    <n v="172.34142857142899"/>
  </r>
  <r>
    <s v="CMP0229"/>
    <d v="2025-10-11T00:00:00"/>
    <x v="5"/>
    <x v="0"/>
    <n v="4638.09"/>
    <n v="767"/>
    <n v="84"/>
    <x v="1"/>
    <n v="10"/>
    <n v="0.10951760104302501"/>
    <s v="Low"/>
    <n v="6.0470534550195598"/>
    <n v="55.215357142857101"/>
  </r>
  <r>
    <s v="CMP0287"/>
    <d v="2025-09-23T00:00:00"/>
    <x v="4"/>
    <x v="2"/>
    <n v="4926.28"/>
    <n v="844"/>
    <n v="73"/>
    <x v="1"/>
    <n v="9"/>
    <n v="8.6492890995260696E-2"/>
    <s v="Low"/>
    <n v="5.8368246445497602"/>
    <n v="67.483287671232901"/>
  </r>
  <r>
    <s v="CMP0197"/>
    <d v="2025-09-08T00:00:00"/>
    <x v="3"/>
    <x v="5"/>
    <n v="2610.06"/>
    <n v="267"/>
    <n v="51"/>
    <x v="1"/>
    <n v="9"/>
    <n v="0.19101123595505601"/>
    <s v="High"/>
    <n v="9.7755056179775295"/>
    <n v="51.177647058823503"/>
  </r>
  <r>
    <s v="CMP0274"/>
    <d v="2025-05-15T00:00:00"/>
    <x v="0"/>
    <x v="0"/>
    <n v="1819.43"/>
    <n v="361"/>
    <n v="93"/>
    <x v="1"/>
    <n v="5"/>
    <n v="0.25761772853185599"/>
    <s v="High"/>
    <n v="5.0399722991689799"/>
    <n v="19.5637634408602"/>
  </r>
  <r>
    <s v="CMP0156"/>
    <d v="2025-12-22T00:00:00"/>
    <x v="2"/>
    <x v="5"/>
    <n v="3457.13"/>
    <n v="434"/>
    <n v="110"/>
    <x v="1"/>
    <n v="12"/>
    <n v="0.25345622119815697"/>
    <s v="High"/>
    <n v="7.9657373271889398"/>
    <n v="31.428454545454599"/>
  </r>
  <r>
    <s v="CMP0084"/>
    <d v="2026-04-21T00:00:00"/>
    <x v="5"/>
    <x v="2"/>
    <n v="3465.97"/>
    <n v="304"/>
    <n v="35"/>
    <x v="0"/>
    <n v="4"/>
    <n v="0.115131578947368"/>
    <s v="Low"/>
    <n v="11.4012171052632"/>
    <n v="99.027714285714296"/>
  </r>
  <r>
    <s v="CMP0002"/>
    <d v="2026-06-25T00:00:00"/>
    <x v="5"/>
    <x v="4"/>
    <n v="387.93"/>
    <n v="95"/>
    <n v="73"/>
    <x v="0"/>
    <n v="6"/>
    <n v="0.768421052631579"/>
    <s v="High"/>
    <n v="4.0834736842105297"/>
    <n v="5.3141095890410996"/>
  </r>
  <r>
    <s v="CMP0289"/>
    <d v="2026-03-08T00:00:00"/>
    <x v="5"/>
    <x v="2"/>
    <n v="2869.4949999999999"/>
    <n v="461"/>
    <n v="32"/>
    <x v="0"/>
    <n v="3"/>
    <n v="6.941431670282E-2"/>
    <s v="Low"/>
    <n v="6.2245010845986997"/>
    <n v="89.671718749999997"/>
  </r>
  <r>
    <s v="CMP0063"/>
    <d v="2025-10-11T00:00:00"/>
    <x v="2"/>
    <x v="2"/>
    <n v="4350.93"/>
    <n v="402"/>
    <n v="71"/>
    <x v="1"/>
    <n v="10"/>
    <n v="0.17661691542288599"/>
    <s v="Low"/>
    <n v="10.823208955223899"/>
    <n v="61.280704225352103"/>
  </r>
  <r>
    <s v="CMP0196"/>
    <d v="2026-03-31T00:00:00"/>
    <x v="0"/>
    <x v="5"/>
    <n v="4054.96"/>
    <n v="628"/>
    <n v="132"/>
    <x v="0"/>
    <n v="3"/>
    <n v="0.210191082802548"/>
    <s v="High"/>
    <n v="6.4569426751592403"/>
    <n v="30.7193939393939"/>
  </r>
  <r>
    <s v="CMP0292"/>
    <d v="2025-10-05T00:00:00"/>
    <x v="2"/>
    <x v="2"/>
    <n v="1073.1400000000001"/>
    <n v="245"/>
    <n v="45"/>
    <x v="1"/>
    <n v="10"/>
    <n v="0.183673469387755"/>
    <s v="Low"/>
    <n v="4.3801632653061198"/>
    <n v="23.847555555555601"/>
  </r>
  <r>
    <s v="CMP0046"/>
    <d v="2025-07-06T00:00:00"/>
    <x v="2"/>
    <x v="1"/>
    <n v="4476.0600000000004"/>
    <n v="464"/>
    <n v="69"/>
    <x v="1"/>
    <n v="7"/>
    <n v="0.148706896551724"/>
    <s v="Low"/>
    <n v="9.6466810344827607"/>
    <n v="64.870434782608697"/>
  </r>
  <r>
    <s v="CMP0248"/>
    <d v="2025-11-13T00:00:00"/>
    <x v="2"/>
    <x v="6"/>
    <n v="1387.4"/>
    <n v="215"/>
    <n v="24"/>
    <x v="1"/>
    <n v="11"/>
    <n v="0.111627906976744"/>
    <s v="Low"/>
    <n v="6.4530232558139504"/>
    <n v="57.808333333333302"/>
  </r>
  <r>
    <s v="CMP0114"/>
    <d v="2026-01-30T00:00:00"/>
    <x v="5"/>
    <x v="0"/>
    <n v="4953.63"/>
    <n v="768"/>
    <n v="163"/>
    <x v="0"/>
    <n v="1"/>
    <n v="0.21223958333333301"/>
    <s v="High"/>
    <n v="6.4500390625000001"/>
    <n v="30.390368098159499"/>
  </r>
  <r>
    <s v="NEW0014"/>
    <d v="2025-10-11T00:00:00"/>
    <x v="2"/>
    <x v="2"/>
    <n v="500.84"/>
    <n v="88"/>
    <n v="19"/>
    <x v="1"/>
    <n v="10"/>
    <n v="0.21590909090909099"/>
    <s v="High"/>
    <n v="5.69136363636364"/>
    <n v="26.36"/>
  </r>
  <r>
    <s v="CMP0131"/>
    <d v="2025-03-28T00:00:00"/>
    <x v="2"/>
    <x v="0"/>
    <n v="2766.4"/>
    <n v="595"/>
    <n v="62"/>
    <x v="1"/>
    <n v="3"/>
    <n v="0.104201680672269"/>
    <s v="Low"/>
    <n v="4.6494117647058797"/>
    <n v="44.619354838709697"/>
  </r>
  <r>
    <s v="CMP0177"/>
    <d v="2026-07-24T00:00:00"/>
    <x v="3"/>
    <x v="4"/>
    <n v="3691.38"/>
    <n v="458"/>
    <n v="73"/>
    <x v="0"/>
    <n v="7"/>
    <n v="0.15938864628821001"/>
    <s v="Low"/>
    <n v="8.0597816593886495"/>
    <n v="50.566849315068502"/>
  </r>
  <r>
    <s v="CMP0111"/>
    <d v="2025-07-16T00:00:00"/>
    <x v="0"/>
    <x v="2"/>
    <n v="4771.6099999999997"/>
    <n v="587"/>
    <n v="146"/>
    <x v="1"/>
    <n v="7"/>
    <n v="0.24872231686541699"/>
    <s v="High"/>
    <n v="8.1288074957410608"/>
    <n v="32.682260273972602"/>
  </r>
  <r>
    <s v="CMP0091"/>
    <d v="2026-03-22T00:00:00"/>
    <x v="2"/>
    <x v="0"/>
    <n v="3580.32"/>
    <n v="327"/>
    <n v="53"/>
    <x v="0"/>
    <n v="3"/>
    <n v="0.16207951070336399"/>
    <s v="Low"/>
    <n v="10.948990825688099"/>
    <n v="67.553207547169805"/>
  </r>
  <r>
    <s v="CMP0104"/>
    <d v="2026-06-03T00:00:00"/>
    <x v="0"/>
    <x v="0"/>
    <n v="2221.84"/>
    <n v="426"/>
    <n v="108"/>
    <x v="0"/>
    <n v="6"/>
    <n v="0.25352112676056299"/>
    <s v="High"/>
    <n v="5.2155868544600903"/>
    <n v="20.572592592592599"/>
  </r>
  <r>
    <s v="CMP0218"/>
    <d v="2026-01-29T00:00:00"/>
    <x v="2"/>
    <x v="0"/>
    <n v="3374.99"/>
    <n v="583"/>
    <n v="103"/>
    <x v="0"/>
    <n v="1"/>
    <n v="0.176672384219554"/>
    <s v="Low"/>
    <n v="5.7890051457976002"/>
    <n v="32.766893203883498"/>
  </r>
  <r>
    <s v="CMP0122"/>
    <d v="2025-10-11T00:00:00"/>
    <x v="2"/>
    <x v="1"/>
    <n v="401.73"/>
    <n v="87"/>
    <n v="10"/>
    <x v="1"/>
    <n v="10"/>
    <n v="0.114942528735632"/>
    <s v="Low"/>
    <n v="4.6175862068965499"/>
    <n v="40.173000000000002"/>
  </r>
  <r>
    <s v="CMP0055"/>
    <d v="2026-07-14T00:00:00"/>
    <x v="0"/>
    <x v="6"/>
    <n v="4178.66"/>
    <n v="776"/>
    <n v="206"/>
    <x v="0"/>
    <n v="7"/>
    <n v="0.26546391752577297"/>
    <s v="High"/>
    <n v="5.3848711340206199"/>
    <n v="20.2847572815534"/>
  </r>
  <r>
    <s v="CMP0157"/>
    <d v="2025-08-07T00:00:00"/>
    <x v="4"/>
    <x v="5"/>
    <n v="3217.76"/>
    <n v="498"/>
    <n v="120"/>
    <x v="1"/>
    <n v="8"/>
    <n v="0.240963855421687"/>
    <s v="High"/>
    <n v="6.4613654618473904"/>
    <n v="26.8146666666667"/>
  </r>
  <r>
    <s v="NEW0015"/>
    <d v="2026-05-16T00:00:00"/>
    <x v="2"/>
    <x v="0"/>
    <n v="295.8"/>
    <n v="67"/>
    <n v="7"/>
    <x v="0"/>
    <n v="5"/>
    <n v="0.104477611940299"/>
    <s v="Low"/>
    <n v="4.4149253731343299"/>
    <n v="42.257142857142902"/>
  </r>
  <r>
    <s v="CMP0038"/>
    <d v="2025-03-22T00:00:00"/>
    <x v="2"/>
    <x v="0"/>
    <n v="2647.13"/>
    <n v="426"/>
    <n v="100"/>
    <x v="1"/>
    <n v="3"/>
    <n v="0.23474178403755899"/>
    <s v="High"/>
    <n v="6.2139201877934296"/>
    <n v="26.471299999999999"/>
  </r>
  <r>
    <s v="CMP0025"/>
    <d v="2025-04-20T00:00:00"/>
    <x v="3"/>
    <x v="4"/>
    <n v="3810.3"/>
    <n v="623"/>
    <n v="73"/>
    <x v="1"/>
    <n v="4"/>
    <n v="0.117174959871589"/>
    <s v="Low"/>
    <n v="6.11605136436597"/>
    <n v="52.195890410958903"/>
  </r>
  <r>
    <s v="CMP0219"/>
    <d v="2025-02-04T00:00:00"/>
    <x v="0"/>
    <x v="0"/>
    <n v="4224.63"/>
    <n v="618"/>
    <n v="118"/>
    <x v="1"/>
    <n v="2"/>
    <n v="0.19093851132686099"/>
    <s v="High"/>
    <n v="6.83597087378641"/>
    <n v="35.801949152542399"/>
  </r>
  <r>
    <s v="CMP0012"/>
    <d v="2025-05-25T00:00:00"/>
    <x v="2"/>
    <x v="3"/>
    <n v="2109.1799999999998"/>
    <n v="251"/>
    <n v="34"/>
    <x v="1"/>
    <n v="5"/>
    <n v="0.135458167330677"/>
    <s v="Low"/>
    <n v="8.4031075697211204"/>
    <n v="62.034705882352903"/>
  </r>
  <r>
    <s v="CMP0280"/>
    <d v="2026-03-07T00:00:00"/>
    <x v="0"/>
    <x v="1"/>
    <n v="1119.6500000000001"/>
    <n v="166"/>
    <n v="30"/>
    <x v="0"/>
    <n v="3"/>
    <n v="0.180722891566265"/>
    <s v="Low"/>
    <n v="6.74487951807229"/>
    <n v="37.321666666666701"/>
  </r>
  <r>
    <s v="CMP0162"/>
    <d v="2025-03-10T00:00:00"/>
    <x v="2"/>
    <x v="6"/>
    <n v="1486.45"/>
    <n v="271"/>
    <n v="53"/>
    <x v="1"/>
    <n v="3"/>
    <n v="0.19557195571955699"/>
    <s v="High"/>
    <n v="5.4850553505535098"/>
    <n v="28.046226415094299"/>
  </r>
  <r>
    <s v="CMP0222"/>
    <d v="2026-07-23T00:00:00"/>
    <x v="5"/>
    <x v="0"/>
    <n v="609.80999999999995"/>
    <n v="426"/>
    <n v="4"/>
    <x v="0"/>
    <n v="7"/>
    <n v="9.3896713615023494E-3"/>
    <s v="Low"/>
    <n v="1.4314788732394399"/>
    <n v="152.45249999999999"/>
  </r>
  <r>
    <s v="CMP0142"/>
    <d v="2025-06-23T00:00:00"/>
    <x v="2"/>
    <x v="3"/>
    <n v="4216.83"/>
    <n v="508"/>
    <n v="70"/>
    <x v="1"/>
    <n v="6"/>
    <n v="0.13779527559055099"/>
    <s v="Low"/>
    <n v="8.3008464566929092"/>
    <n v="60.240428571428602"/>
  </r>
  <r>
    <s v="CMP0027"/>
    <d v="2025-07-27T00:00:00"/>
    <x v="0"/>
    <x v="6"/>
    <n v="3178.53"/>
    <n v="345"/>
    <n v="73"/>
    <x v="1"/>
    <n v="7"/>
    <n v="0.21159420289855099"/>
    <s v="High"/>
    <n v="9.2131304347826095"/>
    <n v="43.541506849315098"/>
  </r>
  <r>
    <s v="CMP0175"/>
    <d v="2025-12-12T00:00:00"/>
    <x v="0"/>
    <x v="0"/>
    <n v="4635.24"/>
    <n v="886"/>
    <n v="199"/>
    <x v="1"/>
    <n v="12"/>
    <n v="0.22460496613995501"/>
    <s v="High"/>
    <n v="5.2316478555304702"/>
    <n v="23.2926633165829"/>
  </r>
  <r>
    <s v="CMP0149"/>
    <d v="2026-04-15T00:00:00"/>
    <x v="4"/>
    <x v="6"/>
    <n v="2436.4299999999998"/>
    <n v="554"/>
    <n v="141"/>
    <x v="0"/>
    <n v="4"/>
    <n v="0.25451263537906099"/>
    <s v="High"/>
    <n v="4.3978880866425998"/>
    <n v="17.2796453900709"/>
  </r>
  <r>
    <s v="CMP0277"/>
    <d v="2025-03-04T00:00:00"/>
    <x v="2"/>
    <x v="5"/>
    <n v="3342.91"/>
    <n v="599"/>
    <n v="124"/>
    <x v="1"/>
    <n v="3"/>
    <n v="0.20701168614357299"/>
    <s v="High"/>
    <n v="5.5808180300500796"/>
    <n v="26.958951612903199"/>
  </r>
  <r>
    <s v="CMP0006"/>
    <d v="2025-12-16T00:00:00"/>
    <x v="2"/>
    <x v="0"/>
    <n v="2877.39"/>
    <n v="463"/>
    <n v="73"/>
    <x v="1"/>
    <n v="12"/>
    <n v="0.15766738660907101"/>
    <s v="Low"/>
    <n v="6.2146652267818601"/>
    <n v="39.416301369863"/>
  </r>
  <r>
    <s v="CMP0226"/>
    <d v="2025-03-11T00:00:00"/>
    <x v="5"/>
    <x v="6"/>
    <n v="3509.09"/>
    <n v="714"/>
    <n v="42"/>
    <x v="1"/>
    <n v="3"/>
    <n v="5.8823529411764698E-2"/>
    <s v="Low"/>
    <n v="4.9146918767507"/>
    <n v="83.549761904761894"/>
  </r>
  <r>
    <s v="CMP0209"/>
    <d v="2026-07-12T00:00:00"/>
    <x v="4"/>
    <x v="2"/>
    <n v="3794.91"/>
    <n v="442"/>
    <n v="77"/>
    <x v="0"/>
    <n v="7"/>
    <n v="0.17420814479638"/>
    <s v="Low"/>
    <n v="8.5857692307692304"/>
    <n v="49.284545454545501"/>
  </r>
  <r>
    <s v="CMP0037"/>
    <d v="2025-08-18T00:00:00"/>
    <x v="3"/>
    <x v="3"/>
    <n v="4177.41"/>
    <n v="427"/>
    <n v="69"/>
    <x v="1"/>
    <n v="8"/>
    <n v="0.16159250585480101"/>
    <s v="Low"/>
    <n v="9.7831615925058504"/>
    <n v="60.542173913043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3D9456-10FB-4F26-A049-16BE492A56EC}" name="PivotTable2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4" firstHeaderRow="1" firstDataRow="1" firstDataCol="1"/>
  <pivotFields count="13">
    <pivotField showAll="0"/>
    <pivotField numFmtId="164" showAll="0"/>
    <pivotField showAll="0">
      <items count="7">
        <item x="4"/>
        <item x="3"/>
        <item x="5"/>
        <item x="0"/>
        <item x="2"/>
        <item x="1"/>
        <item t="default"/>
      </items>
    </pivotField>
    <pivotField dataField="1" showAll="0">
      <items count="8">
        <item x="5"/>
        <item x="6"/>
        <item x="4"/>
        <item x="2"/>
        <item x="1"/>
        <item x="0"/>
        <item x="3"/>
        <item t="default"/>
      </items>
    </pivotField>
    <pivotField numFmtId="165" showAll="0"/>
    <pivotField showAll="0"/>
    <pivotField showAll="0"/>
    <pivotField axis="axisRow" showAll="0">
      <items count="3">
        <item x="1"/>
        <item x="0"/>
        <item t="default"/>
      </items>
    </pivotField>
    <pivotField showAll="0"/>
    <pivotField numFmtId="166" showAll="0"/>
    <pivotField showAll="0"/>
    <pivotField numFmtId="165" showAll="0"/>
    <pivotField numFmtId="165" showAll="0"/>
  </pivotFields>
  <rowFields count="1">
    <field x="7"/>
  </rowFields>
  <rowItems count="3">
    <i>
      <x/>
    </i>
    <i>
      <x v="1"/>
    </i>
    <i t="grand">
      <x/>
    </i>
  </rowItems>
  <colItems count="1">
    <i/>
  </colItems>
  <dataFields count="1">
    <dataField name="Count of Region" fld="3" subtotal="count"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0C00F0-A458-4C6F-9499-BD793CD25F62}" name="PivotTable2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3">
    <pivotField showAll="0"/>
    <pivotField numFmtId="164" showAll="0"/>
    <pivotField axis="axisRow" showAll="0">
      <items count="7">
        <item x="4"/>
        <item x="3"/>
        <item x="5"/>
        <item x="0"/>
        <item x="2"/>
        <item x="1"/>
        <item t="default"/>
      </items>
    </pivotField>
    <pivotField showAll="0"/>
    <pivotField dataField="1" numFmtId="165" showAll="0"/>
    <pivotField showAll="0"/>
    <pivotField showAll="0"/>
    <pivotField showAll="0"/>
    <pivotField showAll="0"/>
    <pivotField numFmtId="166" showAll="0"/>
    <pivotField showAll="0"/>
    <pivotField numFmtId="165" showAll="0"/>
    <pivotField numFmtId="165" showAll="0"/>
  </pivotFields>
  <rowFields count="1">
    <field x="2"/>
  </rowFields>
  <rowItems count="7">
    <i>
      <x/>
    </i>
    <i>
      <x v="1"/>
    </i>
    <i>
      <x v="2"/>
    </i>
    <i>
      <x v="3"/>
    </i>
    <i>
      <x v="4"/>
    </i>
    <i>
      <x v="5"/>
    </i>
    <i t="grand">
      <x/>
    </i>
  </rowItems>
  <colItems count="1">
    <i/>
  </colItems>
  <dataFields count="1">
    <dataField name="Sum of Budget" fld="4" baseField="0" baseItem="0" numFmtId="165"/>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4"/>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BCA78-1001-4F35-B3B4-6B82ED9CBAD1}" name="PivotTable20"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0:K18" firstHeaderRow="0" firstDataRow="1" firstDataCol="1"/>
  <pivotFields count="13">
    <pivotField showAll="0"/>
    <pivotField numFmtId="164" showAll="0"/>
    <pivotField showAll="0"/>
    <pivotField axis="axisRow" dataField="1" showAll="0">
      <items count="8">
        <item x="5"/>
        <item x="6"/>
        <item x="4"/>
        <item x="2"/>
        <item x="1"/>
        <item x="0"/>
        <item x="3"/>
        <item t="default"/>
      </items>
    </pivotField>
    <pivotField dataField="1" numFmtId="165" showAll="0"/>
    <pivotField showAll="0"/>
    <pivotField showAll="0"/>
    <pivotField showAll="0">
      <items count="3">
        <item h="1" x="1"/>
        <item x="0"/>
        <item t="default"/>
      </items>
    </pivotField>
    <pivotField showAll="0"/>
    <pivotField numFmtId="166" showAll="0"/>
    <pivotField showAll="0"/>
    <pivotField numFmtId="165" showAll="0"/>
    <pivotField numFmtId="165" showAll="0"/>
  </pivotFields>
  <rowFields count="1">
    <field x="3"/>
  </rowFields>
  <rowItems count="8">
    <i>
      <x/>
    </i>
    <i>
      <x v="1"/>
    </i>
    <i>
      <x v="2"/>
    </i>
    <i>
      <x v="3"/>
    </i>
    <i>
      <x v="4"/>
    </i>
    <i>
      <x v="5"/>
    </i>
    <i>
      <x v="6"/>
    </i>
    <i t="grand">
      <x/>
    </i>
  </rowItems>
  <colFields count="1">
    <field x="-2"/>
  </colFields>
  <colItems count="2">
    <i>
      <x/>
    </i>
    <i i="1">
      <x v="1"/>
    </i>
  </colItems>
  <dataFields count="2">
    <dataField name="Count of Region" fld="3" subtotal="count" baseField="0" baseItem="0"/>
    <dataField name="Sum of Budget" fld="4" baseField="0" baseItem="0" numFmtId="165"/>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1F6AAF-8903-4298-B790-D4910B52B202}"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F18" firstHeaderRow="1" firstDataRow="1" firstDataCol="1"/>
  <pivotFields count="13">
    <pivotField showAll="0"/>
    <pivotField numFmtId="164" showAll="0"/>
    <pivotField showAll="0"/>
    <pivotField axis="axisRow" showAll="0">
      <items count="8">
        <item x="5"/>
        <item x="6"/>
        <item x="4"/>
        <item x="2"/>
        <item x="1"/>
        <item x="0"/>
        <item x="3"/>
        <item t="default"/>
      </items>
    </pivotField>
    <pivotField numFmtId="165" showAll="0"/>
    <pivotField showAll="0"/>
    <pivotField showAll="0"/>
    <pivotField showAll="0"/>
    <pivotField dataField="1" showAll="0">
      <items count="13">
        <item x="7"/>
        <item x="0"/>
        <item x="4"/>
        <item x="5"/>
        <item x="2"/>
        <item x="1"/>
        <item x="9"/>
        <item x="6"/>
        <item x="8"/>
        <item x="10"/>
        <item x="11"/>
        <item x="3"/>
        <item t="default"/>
      </items>
    </pivotField>
    <pivotField numFmtId="166" showAll="0"/>
    <pivotField showAll="0"/>
    <pivotField numFmtId="165" showAll="0"/>
    <pivotField numFmtId="165" showAll="0"/>
  </pivotFields>
  <rowFields count="1">
    <field x="3"/>
  </rowFields>
  <rowItems count="8">
    <i>
      <x/>
    </i>
    <i>
      <x v="1"/>
    </i>
    <i>
      <x v="2"/>
    </i>
    <i>
      <x v="3"/>
    </i>
    <i>
      <x v="4"/>
    </i>
    <i>
      <x v="5"/>
    </i>
    <i>
      <x v="6"/>
    </i>
    <i t="grand">
      <x/>
    </i>
  </rowItems>
  <colItems count="1">
    <i/>
  </colItems>
  <dataFields count="1">
    <dataField name="Sum of Month"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38BF4-75B9-4797-A2FE-183DCA8444A4}"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B17" firstHeaderRow="1" firstDataRow="1" firstDataCol="1"/>
  <pivotFields count="13">
    <pivotField showAll="0"/>
    <pivotField numFmtId="164" showAll="0"/>
    <pivotField axis="axisRow" dataField="1" showAll="0">
      <items count="7">
        <item x="4"/>
        <item x="3"/>
        <item x="5"/>
        <item x="0"/>
        <item x="2"/>
        <item x="1"/>
        <item t="default"/>
      </items>
    </pivotField>
    <pivotField showAll="0">
      <items count="8">
        <item h="1" x="5"/>
        <item h="1" x="6"/>
        <item h="1" x="4"/>
        <item h="1" x="2"/>
        <item x="1"/>
        <item h="1" x="0"/>
        <item h="1" x="3"/>
        <item t="default"/>
      </items>
    </pivotField>
    <pivotField numFmtId="165" showAll="0"/>
    <pivotField showAll="0"/>
    <pivotField showAll="0"/>
    <pivotField showAll="0"/>
    <pivotField showAll="0"/>
    <pivotField numFmtId="166" showAll="0"/>
    <pivotField showAll="0"/>
    <pivotField numFmtId="165" showAll="0"/>
    <pivotField numFmtId="165" showAll="0"/>
  </pivotFields>
  <rowFields count="1">
    <field x="2"/>
  </rowFields>
  <rowItems count="7">
    <i>
      <x/>
    </i>
    <i>
      <x v="1"/>
    </i>
    <i>
      <x v="2"/>
    </i>
    <i>
      <x v="3"/>
    </i>
    <i>
      <x v="4"/>
    </i>
    <i>
      <x v="5"/>
    </i>
    <i t="grand">
      <x/>
    </i>
  </rowItems>
  <colItems count="1">
    <i/>
  </colItems>
  <dataFields count="1">
    <dataField name="Count of Channel"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5"/>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5B1D00-BD9D-42DA-A12E-6EB36F2393D1}" sourceName="Region">
  <pivotTables>
    <pivotTable tabId="10" name="PivotTable3"/>
  </pivotTables>
  <data>
    <tabular pivotCacheId="817395247">
      <items count="7">
        <i x="5"/>
        <i x="6"/>
        <i x="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965649-3BBD-40F2-BD72-BEBF7B8CFAE8}" sourceName="Month">
  <pivotTables>
    <pivotTable tabId="10" name="PivotTable9"/>
  </pivotTables>
  <data>
    <tabular pivotCacheId="535578853">
      <items count="12">
        <i x="7" s="1"/>
        <i x="0" s="1"/>
        <i x="4" s="1"/>
        <i x="5" s="1"/>
        <i x="2" s="1"/>
        <i x="1" s="1"/>
        <i x="9" s="1"/>
        <i x="6" s="1"/>
        <i x="8" s="1"/>
        <i x="10" s="1"/>
        <i x="1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A21EA7B-4C47-4CB1-B175-69E61B3C4D1B}" sourceName="Region">
  <pivotTables>
    <pivotTable tabId="10" name="PivotTable20"/>
  </pivotTables>
  <data>
    <tabular pivotCacheId="1245648375">
      <items count="7">
        <i x="5" s="1"/>
        <i x="6" s="1"/>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8A19A5-3181-4C0D-A0D5-5900EEADA043}" sourceName="Year">
  <pivotTables>
    <pivotTable tabId="10" name="PivotTable20"/>
  </pivotTables>
  <data>
    <tabular pivotCacheId="1245648375">
      <items count="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212CAC0-1876-496E-9F15-0ECD54ECE6FC}" sourceName="Channel">
  <pivotTables>
    <pivotTable tabId="26" name="PivotTable23"/>
    <pivotTable tabId="26" name="PivotTable24"/>
  </pivotTables>
  <data>
    <tabular pivotCacheId="1245648375">
      <items count="6">
        <i x="4" s="1"/>
        <i x="3" s="1"/>
        <i x="5" s="1"/>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7B8FEDD-1DA0-4866-BC76-13F0F6268353}" sourceName="Region">
  <pivotTables>
    <pivotTable tabId="26" name="PivotTable24"/>
  </pivotTables>
  <data>
    <tabular pivotCacheId="1245648375">
      <items count="7">
        <i x="5" s="1"/>
        <i x="6" s="1"/>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E36F7131-70BE-47B6-A72B-99AFB4F7B7F1}" cache="Slicer_Channel" caption="Channel" rowHeight="241300"/>
  <slicer name="Region 2" xr10:uid="{937E7459-70A6-45CD-BDA8-9EA4FFDB78B2}" cache="Slicer_Region2"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1BDB8608-76D3-4031-827B-9122BA8CDFB7}" cache="Slicer_Channel" caption="Channel" rowHeight="241300"/>
  <slicer name="Region 3" xr10:uid="{EFD08CDA-3DA4-4974-85F9-47EF8C4AFFAA}" cache="Slicer_Region2"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F26E40-82DE-4879-BD7D-797C8947159E}" cache="Slicer_Region" caption="Region" rowHeight="241300"/>
  <slicer name="Month" xr10:uid="{34B3D90B-252E-4DE0-9FDD-28BA05EFBEA8}" cache="Slicer_Month" caption="Month" rowHeight="241300"/>
  <slicer name="Region 1" xr10:uid="{AC2601CA-92DF-49EB-8076-A5BA70677456}" cache="Slicer_Region1" caption="Region" rowHeight="241300"/>
  <slicer name="Year" xr10:uid="{569CE1D1-2737-4AA7-AF06-187526B37537}"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RawMarketingData" displayName="RawMarketingData" ref="A3:G303" totalsRowShown="0">
  <autoFilter ref="A3:G303" xr:uid="{00000000-0009-0000-0100-000002000000}"/>
  <tableColumns count="7">
    <tableColumn id="1" xr3:uid="{00000000-0010-0000-0000-000001000000}" name="Campaign_ID"/>
    <tableColumn id="2" xr3:uid="{00000000-0010-0000-0000-000002000000}" name="Start_Date"/>
    <tableColumn id="3" xr3:uid="{00000000-0010-0000-0000-000003000000}" name="Channel"/>
    <tableColumn id="4" xr3:uid="{00000000-0010-0000-0000-000004000000}" name="Region"/>
    <tableColumn id="5" xr3:uid="{00000000-0010-0000-0000-000005000000}" name="Budget"/>
    <tableColumn id="6" xr3:uid="{00000000-0010-0000-0000-000006000000}" name="Leads"/>
    <tableColumn id="7" xr3:uid="{00000000-0010-0000-0000-000007000000}" name="Conversion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leanMarketingData" displayName="CleanMarketingData" ref="A3:M296" totalsRowShown="0">
  <autoFilter ref="A3:M296" xr:uid="{00000000-0009-0000-0100-000001000000}"/>
  <tableColumns count="13">
    <tableColumn id="1" xr3:uid="{00000000-0010-0000-0100-000001000000}" name="Campaign_ID"/>
    <tableColumn id="2" xr3:uid="{00000000-0010-0000-0100-000002000000}" name="Start_Date"/>
    <tableColumn id="3" xr3:uid="{00000000-0010-0000-0100-000003000000}" name="Channel"/>
    <tableColumn id="4" xr3:uid="{00000000-0010-0000-0100-000004000000}" name="Region"/>
    <tableColumn id="5" xr3:uid="{00000000-0010-0000-0100-000005000000}" name="Budget"/>
    <tableColumn id="6" xr3:uid="{00000000-0010-0000-0100-000006000000}" name="Leads"/>
    <tableColumn id="7" xr3:uid="{00000000-0010-0000-0100-000007000000}" name="Conversions"/>
    <tableColumn id="8" xr3:uid="{00000000-0010-0000-0100-000008000000}" name="Year"/>
    <tableColumn id="9" xr3:uid="{00000000-0010-0000-0100-000009000000}" name="Month"/>
    <tableColumn id="10" xr3:uid="{00000000-0010-0000-0100-00000A000000}" name="Conversion_Rate"/>
    <tableColumn id="11" xr3:uid="{00000000-0010-0000-0100-00000B000000}" name="Campaign_Performance"/>
    <tableColumn id="12" xr3:uid="{00000000-0010-0000-0100-00000C000000}" name="Cost_per_Lead"/>
    <tableColumn id="13" xr3:uid="{00000000-0010-0000-0100-00000D000000}" name="Cost_per_Convers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3"/>
  <sheetViews>
    <sheetView showGridLines="0" zoomScaleNormal="100" workbookViewId="0">
      <pane ySplit="3" topLeftCell="A6" activePane="bottomLeft" state="frozen"/>
      <selection pane="bottomLeft" activeCell="L6" sqref="L6"/>
    </sheetView>
  </sheetViews>
  <sheetFormatPr defaultColWidth="8.6328125" defaultRowHeight="15" customHeight="1" x14ac:dyDescent="0.35"/>
  <cols>
    <col min="1" max="1" width="18" customWidth="1"/>
    <col min="2" max="2" width="15" customWidth="1"/>
    <col min="3" max="3" width="18" customWidth="1"/>
    <col min="4" max="4" width="16" customWidth="1"/>
    <col min="5" max="5" width="14" customWidth="1"/>
    <col min="6" max="6" width="12" customWidth="1"/>
    <col min="7" max="7" width="14" customWidth="1"/>
  </cols>
  <sheetData>
    <row r="1" spans="1:7" ht="20" x14ac:dyDescent="0.4">
      <c r="A1" s="45" t="s">
        <v>0</v>
      </c>
      <c r="B1" s="45"/>
      <c r="C1" s="45"/>
      <c r="D1" s="45"/>
      <c r="E1" s="45"/>
      <c r="F1" s="45"/>
      <c r="G1" s="45"/>
    </row>
    <row r="2" spans="1:7" ht="14.5" x14ac:dyDescent="0.35">
      <c r="A2" s="1" t="s">
        <v>1</v>
      </c>
    </row>
    <row r="3" spans="1:7" ht="14.5" x14ac:dyDescent="0.35">
      <c r="A3" s="2" t="s">
        <v>2</v>
      </c>
      <c r="B3" s="2" t="s">
        <v>3</v>
      </c>
      <c r="C3" s="2" t="s">
        <v>4</v>
      </c>
      <c r="D3" s="2" t="s">
        <v>5</v>
      </c>
      <c r="E3" s="2" t="s">
        <v>6</v>
      </c>
      <c r="F3" s="2" t="s">
        <v>7</v>
      </c>
      <c r="G3" s="2" t="s">
        <v>8</v>
      </c>
    </row>
    <row r="4" spans="1:7" ht="14.5" x14ac:dyDescent="0.35">
      <c r="A4" t="s">
        <v>9</v>
      </c>
      <c r="B4" s="3">
        <v>46077</v>
      </c>
      <c r="C4" t="s">
        <v>10</v>
      </c>
      <c r="D4" t="s">
        <v>11</v>
      </c>
      <c r="E4" s="4">
        <v>1902.8</v>
      </c>
      <c r="F4">
        <v>258</v>
      </c>
      <c r="G4">
        <v>58</v>
      </c>
    </row>
    <row r="5" spans="1:7" ht="14.5" x14ac:dyDescent="0.35">
      <c r="A5" t="s">
        <v>12</v>
      </c>
      <c r="B5" s="3">
        <v>46186</v>
      </c>
      <c r="D5" t="s">
        <v>11</v>
      </c>
      <c r="E5" s="4">
        <v>2408.15</v>
      </c>
      <c r="F5">
        <v>408</v>
      </c>
      <c r="G5">
        <v>89</v>
      </c>
    </row>
    <row r="6" spans="1:7" ht="14.5" x14ac:dyDescent="0.35">
      <c r="A6" t="s">
        <v>13</v>
      </c>
      <c r="B6" s="3">
        <v>46153</v>
      </c>
      <c r="D6" t="s">
        <v>14</v>
      </c>
      <c r="E6" s="4">
        <v>2635.33</v>
      </c>
      <c r="F6">
        <v>573</v>
      </c>
      <c r="G6">
        <v>100</v>
      </c>
    </row>
    <row r="7" spans="1:7" ht="14.5" x14ac:dyDescent="0.35">
      <c r="B7" s="3">
        <v>46005</v>
      </c>
      <c r="C7" t="s">
        <v>15</v>
      </c>
      <c r="D7" t="s">
        <v>14</v>
      </c>
      <c r="E7" s="4">
        <v>3036.06</v>
      </c>
      <c r="F7">
        <v>350</v>
      </c>
      <c r="G7">
        <v>61</v>
      </c>
    </row>
    <row r="8" spans="1:7" ht="14.5" x14ac:dyDescent="0.35">
      <c r="A8" t="s">
        <v>16</v>
      </c>
      <c r="B8" s="3">
        <v>45732</v>
      </c>
      <c r="C8" t="s">
        <v>15</v>
      </c>
      <c r="D8" t="s">
        <v>17</v>
      </c>
      <c r="E8" s="4">
        <v>4857.8900000000003</v>
      </c>
      <c r="F8">
        <v>742</v>
      </c>
      <c r="G8">
        <v>131</v>
      </c>
    </row>
    <row r="9" spans="1:7" ht="14.5" x14ac:dyDescent="0.35">
      <c r="A9" t="s">
        <v>18</v>
      </c>
      <c r="B9" s="3">
        <v>45772</v>
      </c>
      <c r="C9" t="s">
        <v>19</v>
      </c>
      <c r="E9" s="4">
        <v>2904.04</v>
      </c>
      <c r="F9">
        <v>2013</v>
      </c>
      <c r="G9">
        <v>81</v>
      </c>
    </row>
    <row r="10" spans="1:7" ht="14.5" x14ac:dyDescent="0.35">
      <c r="A10" t="s">
        <v>20</v>
      </c>
      <c r="B10" s="3">
        <v>46185</v>
      </c>
      <c r="C10" t="s">
        <v>10</v>
      </c>
      <c r="D10" t="s">
        <v>21</v>
      </c>
      <c r="E10" s="4">
        <v>518.97</v>
      </c>
      <c r="F10">
        <v>101</v>
      </c>
      <c r="G10">
        <v>20</v>
      </c>
    </row>
    <row r="11" spans="1:7" ht="14.5" x14ac:dyDescent="0.35">
      <c r="A11" t="s">
        <v>22</v>
      </c>
      <c r="B11" s="3">
        <v>46146</v>
      </c>
      <c r="C11" t="s">
        <v>19</v>
      </c>
      <c r="D11" t="s">
        <v>17</v>
      </c>
      <c r="E11" s="4">
        <v>3151.53</v>
      </c>
      <c r="F11">
        <v>510</v>
      </c>
      <c r="G11">
        <v>74</v>
      </c>
    </row>
    <row r="12" spans="1:7" ht="14.5" x14ac:dyDescent="0.35">
      <c r="A12" t="s">
        <v>23</v>
      </c>
      <c r="B12" s="3">
        <v>46093</v>
      </c>
      <c r="C12" t="s">
        <v>24</v>
      </c>
      <c r="D12" t="s">
        <v>14</v>
      </c>
      <c r="E12" s="4">
        <v>2558.6</v>
      </c>
      <c r="F12">
        <v>542</v>
      </c>
      <c r="G12">
        <v>109</v>
      </c>
    </row>
    <row r="13" spans="1:7" ht="14.5" x14ac:dyDescent="0.35">
      <c r="A13" t="s">
        <v>25</v>
      </c>
      <c r="B13" s="3">
        <v>45886</v>
      </c>
      <c r="C13" t="s">
        <v>10</v>
      </c>
      <c r="D13" t="s">
        <v>21</v>
      </c>
      <c r="E13" s="4">
        <v>2993.64</v>
      </c>
      <c r="F13">
        <v>602</v>
      </c>
      <c r="G13">
        <v>170</v>
      </c>
    </row>
    <row r="14" spans="1:7" ht="14.5" x14ac:dyDescent="0.35">
      <c r="A14" t="s">
        <v>26</v>
      </c>
      <c r="B14" s="3">
        <v>45757</v>
      </c>
      <c r="C14" t="s">
        <v>15</v>
      </c>
      <c r="D14" t="s">
        <v>17</v>
      </c>
      <c r="E14" s="4">
        <v>3988.62</v>
      </c>
      <c r="F14">
        <v>656</v>
      </c>
      <c r="G14">
        <v>121</v>
      </c>
    </row>
    <row r="15" spans="1:7" ht="14.5" x14ac:dyDescent="0.35">
      <c r="A15" t="s">
        <v>27</v>
      </c>
      <c r="B15" s="3">
        <v>45888</v>
      </c>
      <c r="C15" t="s">
        <v>10</v>
      </c>
      <c r="E15" s="4">
        <v>4275.45</v>
      </c>
      <c r="F15">
        <v>604</v>
      </c>
      <c r="G15">
        <v>169</v>
      </c>
    </row>
    <row r="16" spans="1:7" ht="14.5" x14ac:dyDescent="0.35">
      <c r="A16" t="s">
        <v>28</v>
      </c>
      <c r="B16" s="3">
        <v>46144</v>
      </c>
      <c r="C16" t="s">
        <v>10</v>
      </c>
      <c r="D16" t="s">
        <v>21</v>
      </c>
      <c r="E16" s="4">
        <v>2086.02</v>
      </c>
      <c r="F16">
        <v>273</v>
      </c>
      <c r="G16">
        <v>88</v>
      </c>
    </row>
    <row r="17" spans="1:7" ht="14.5" x14ac:dyDescent="0.35">
      <c r="A17" t="s">
        <v>29</v>
      </c>
      <c r="B17" s="3">
        <v>46100</v>
      </c>
      <c r="C17" t="s">
        <v>10</v>
      </c>
      <c r="D17" t="s">
        <v>21</v>
      </c>
      <c r="E17" s="4">
        <v>2263.59</v>
      </c>
      <c r="F17">
        <v>309</v>
      </c>
      <c r="G17">
        <v>69</v>
      </c>
    </row>
    <row r="18" spans="1:7" ht="14.5" x14ac:dyDescent="0.35">
      <c r="A18" t="s">
        <v>30</v>
      </c>
      <c r="B18" s="3">
        <v>45888</v>
      </c>
      <c r="C18" t="s">
        <v>10</v>
      </c>
      <c r="D18" t="s">
        <v>21</v>
      </c>
      <c r="E18" s="4">
        <v>2431.87</v>
      </c>
      <c r="F18">
        <v>576</v>
      </c>
      <c r="G18">
        <v>181</v>
      </c>
    </row>
    <row r="19" spans="1:7" ht="14.5" x14ac:dyDescent="0.35">
      <c r="A19" t="s">
        <v>31</v>
      </c>
      <c r="B19" s="3">
        <v>45681</v>
      </c>
      <c r="C19" t="s">
        <v>10</v>
      </c>
      <c r="D19" t="s">
        <v>11</v>
      </c>
      <c r="E19" s="4"/>
      <c r="F19">
        <v>433</v>
      </c>
      <c r="G19">
        <v>113</v>
      </c>
    </row>
    <row r="20" spans="1:7" ht="14.5" x14ac:dyDescent="0.35">
      <c r="A20" t="s">
        <v>32</v>
      </c>
      <c r="B20" s="3">
        <v>45903</v>
      </c>
      <c r="C20" t="s">
        <v>33</v>
      </c>
      <c r="D20" t="s">
        <v>11</v>
      </c>
      <c r="E20" s="4">
        <v>3520.5</v>
      </c>
      <c r="F20">
        <v>659</v>
      </c>
      <c r="G20">
        <v>130</v>
      </c>
    </row>
    <row r="21" spans="1:7" ht="14.5" x14ac:dyDescent="0.35">
      <c r="A21" t="s">
        <v>34</v>
      </c>
      <c r="B21" s="3">
        <v>46153</v>
      </c>
      <c r="D21" t="s">
        <v>35</v>
      </c>
      <c r="E21" s="4">
        <v>4913.8</v>
      </c>
      <c r="F21">
        <v>799</v>
      </c>
      <c r="G21">
        <v>60</v>
      </c>
    </row>
    <row r="22" spans="1:7" ht="14.5" x14ac:dyDescent="0.35">
      <c r="A22" t="s">
        <v>36</v>
      </c>
      <c r="B22" s="3">
        <v>45860</v>
      </c>
      <c r="C22" t="s">
        <v>24</v>
      </c>
      <c r="E22" s="4">
        <v>3753.98</v>
      </c>
      <c r="F22">
        <v>334</v>
      </c>
      <c r="G22">
        <v>55</v>
      </c>
    </row>
    <row r="23" spans="1:7" ht="14.5" x14ac:dyDescent="0.35">
      <c r="A23" t="s">
        <v>37</v>
      </c>
      <c r="B23" s="3">
        <v>45955</v>
      </c>
      <c r="C23" t="s">
        <v>10</v>
      </c>
      <c r="D23" t="s">
        <v>11</v>
      </c>
      <c r="E23" s="4">
        <v>457.9</v>
      </c>
      <c r="F23">
        <v>42</v>
      </c>
      <c r="G23">
        <v>10</v>
      </c>
    </row>
    <row r="24" spans="1:7" ht="14.5" x14ac:dyDescent="0.35">
      <c r="A24" t="s">
        <v>38</v>
      </c>
      <c r="B24" s="3">
        <v>46228</v>
      </c>
      <c r="C24" t="s">
        <v>10</v>
      </c>
      <c r="D24" t="s">
        <v>17</v>
      </c>
      <c r="E24" s="4">
        <v>4532.21</v>
      </c>
      <c r="F24">
        <v>843</v>
      </c>
      <c r="G24">
        <v>163</v>
      </c>
    </row>
    <row r="25" spans="1:7" ht="14.5" x14ac:dyDescent="0.35">
      <c r="A25" t="s">
        <v>39</v>
      </c>
      <c r="B25" s="3">
        <v>45811</v>
      </c>
      <c r="C25" t="s">
        <v>15</v>
      </c>
      <c r="D25" t="s">
        <v>17</v>
      </c>
      <c r="E25" s="4">
        <v>4633.21</v>
      </c>
      <c r="G25">
        <v>92</v>
      </c>
    </row>
    <row r="26" spans="1:7" ht="14.5" x14ac:dyDescent="0.35">
      <c r="A26" t="s">
        <v>40</v>
      </c>
      <c r="B26" s="3">
        <v>46168</v>
      </c>
      <c r="C26" t="s">
        <v>15</v>
      </c>
      <c r="D26" t="s">
        <v>11</v>
      </c>
      <c r="E26" s="4">
        <v>2503.33</v>
      </c>
      <c r="F26">
        <v>297</v>
      </c>
      <c r="G26">
        <v>53</v>
      </c>
    </row>
    <row r="27" spans="1:7" ht="14.5" x14ac:dyDescent="0.35">
      <c r="A27" t="s">
        <v>41</v>
      </c>
      <c r="B27" s="3"/>
      <c r="C27" t="s">
        <v>19</v>
      </c>
      <c r="D27" t="s">
        <v>11</v>
      </c>
      <c r="E27" s="4">
        <v>2370.21</v>
      </c>
      <c r="F27">
        <v>553</v>
      </c>
      <c r="G27">
        <v>120</v>
      </c>
    </row>
    <row r="28" spans="1:7" ht="14.5" x14ac:dyDescent="0.35">
      <c r="A28" t="s">
        <v>42</v>
      </c>
      <c r="B28" s="3">
        <v>45834</v>
      </c>
      <c r="C28" t="s">
        <v>24</v>
      </c>
      <c r="D28" t="s">
        <v>43</v>
      </c>
      <c r="E28" s="4">
        <v>4663.53</v>
      </c>
      <c r="F28">
        <v>641</v>
      </c>
      <c r="G28">
        <v>109</v>
      </c>
    </row>
    <row r="29" spans="1:7" ht="14.5" x14ac:dyDescent="0.35">
      <c r="A29" t="s">
        <v>44</v>
      </c>
      <c r="B29" s="3">
        <v>46005</v>
      </c>
      <c r="C29" t="s">
        <v>19</v>
      </c>
      <c r="D29" t="s">
        <v>11</v>
      </c>
      <c r="E29" s="4">
        <v>658.72</v>
      </c>
      <c r="F29">
        <v>52</v>
      </c>
      <c r="G29">
        <v>8</v>
      </c>
    </row>
    <row r="30" spans="1:7" ht="14.5" x14ac:dyDescent="0.35">
      <c r="A30" t="s">
        <v>45</v>
      </c>
      <c r="B30" s="3">
        <v>46056</v>
      </c>
      <c r="C30" t="s">
        <v>19</v>
      </c>
      <c r="D30" t="s">
        <v>11</v>
      </c>
      <c r="E30" s="4">
        <v>2413.8000000000002</v>
      </c>
      <c r="F30">
        <v>574</v>
      </c>
      <c r="G30">
        <v>95</v>
      </c>
    </row>
    <row r="31" spans="1:7" ht="14.5" x14ac:dyDescent="0.35">
      <c r="A31" t="s">
        <v>46</v>
      </c>
      <c r="B31" s="3">
        <v>45771</v>
      </c>
      <c r="C31" t="s">
        <v>15</v>
      </c>
      <c r="D31" t="s">
        <v>35</v>
      </c>
      <c r="E31" s="4">
        <v>1496.59</v>
      </c>
      <c r="F31">
        <v>223</v>
      </c>
      <c r="G31">
        <v>36</v>
      </c>
    </row>
    <row r="32" spans="1:7" ht="14.5" x14ac:dyDescent="0.35">
      <c r="A32" t="s">
        <v>47</v>
      </c>
      <c r="B32" s="3">
        <v>46050</v>
      </c>
      <c r="C32" t="s">
        <v>19</v>
      </c>
      <c r="E32" s="4">
        <v>3057.48</v>
      </c>
      <c r="F32">
        <v>503</v>
      </c>
      <c r="G32">
        <v>73</v>
      </c>
    </row>
    <row r="33" spans="1:7" ht="14.5" x14ac:dyDescent="0.35">
      <c r="A33" t="s">
        <v>48</v>
      </c>
      <c r="B33" s="3">
        <v>45662</v>
      </c>
      <c r="C33" t="s">
        <v>10</v>
      </c>
      <c r="D33" t="s">
        <v>43</v>
      </c>
      <c r="E33" s="4"/>
      <c r="F33">
        <v>118</v>
      </c>
      <c r="G33">
        <v>25</v>
      </c>
    </row>
    <row r="34" spans="1:7" ht="14.5" x14ac:dyDescent="0.35">
      <c r="A34" t="s">
        <v>49</v>
      </c>
      <c r="B34" s="3"/>
      <c r="C34" t="s">
        <v>15</v>
      </c>
      <c r="D34" t="s">
        <v>11</v>
      </c>
      <c r="E34" s="4">
        <v>4668.7299999999996</v>
      </c>
      <c r="F34">
        <v>537</v>
      </c>
      <c r="G34">
        <v>48</v>
      </c>
    </row>
    <row r="35" spans="1:7" ht="14.5" x14ac:dyDescent="0.35">
      <c r="A35" t="s">
        <v>50</v>
      </c>
      <c r="B35" s="3">
        <v>45800</v>
      </c>
      <c r="C35" t="s">
        <v>19</v>
      </c>
      <c r="D35" t="s">
        <v>17</v>
      </c>
      <c r="E35" s="4">
        <v>994.02</v>
      </c>
      <c r="G35">
        <v>33</v>
      </c>
    </row>
    <row r="36" spans="1:7" ht="14.5" x14ac:dyDescent="0.35">
      <c r="A36" t="s">
        <v>51</v>
      </c>
      <c r="B36" s="3">
        <v>45988</v>
      </c>
      <c r="C36" t="s">
        <v>10</v>
      </c>
      <c r="D36" t="s">
        <v>21</v>
      </c>
      <c r="E36" s="4">
        <v>4865.12</v>
      </c>
      <c r="F36">
        <v>463</v>
      </c>
      <c r="G36">
        <v>137</v>
      </c>
    </row>
    <row r="37" spans="1:7" ht="14.5" x14ac:dyDescent="0.35">
      <c r="A37" t="s">
        <v>52</v>
      </c>
      <c r="B37" s="3">
        <v>46131</v>
      </c>
      <c r="C37" t="s">
        <v>24</v>
      </c>
      <c r="D37" t="s">
        <v>11</v>
      </c>
      <c r="E37" s="4">
        <v>2693.81</v>
      </c>
      <c r="F37">
        <v>533</v>
      </c>
      <c r="G37">
        <v>83</v>
      </c>
    </row>
    <row r="38" spans="1:7" ht="14.5" x14ac:dyDescent="0.35">
      <c r="A38" t="s">
        <v>53</v>
      </c>
      <c r="B38" s="3">
        <v>45678</v>
      </c>
      <c r="C38" t="s">
        <v>15</v>
      </c>
      <c r="D38" t="s">
        <v>17</v>
      </c>
      <c r="E38" s="4">
        <v>2861.6</v>
      </c>
      <c r="F38">
        <v>388</v>
      </c>
      <c r="G38">
        <v>63</v>
      </c>
    </row>
    <row r="39" spans="1:7" ht="14.5" x14ac:dyDescent="0.35">
      <c r="A39" t="s">
        <v>54</v>
      </c>
      <c r="B39" s="3">
        <v>45861</v>
      </c>
      <c r="C39" t="s">
        <v>10</v>
      </c>
      <c r="D39" t="s">
        <v>21</v>
      </c>
      <c r="E39" s="4">
        <v>480.1</v>
      </c>
      <c r="F39">
        <v>76</v>
      </c>
      <c r="G39">
        <v>16</v>
      </c>
    </row>
    <row r="40" spans="1:7" ht="14.5" x14ac:dyDescent="0.35">
      <c r="A40" t="s">
        <v>55</v>
      </c>
      <c r="B40" s="3">
        <v>45795</v>
      </c>
      <c r="C40" t="s">
        <v>10</v>
      </c>
      <c r="D40" t="s">
        <v>35</v>
      </c>
      <c r="E40" s="4">
        <v>3712.61</v>
      </c>
      <c r="F40">
        <v>420</v>
      </c>
    </row>
    <row r="41" spans="1:7" ht="14.5" x14ac:dyDescent="0.35">
      <c r="A41" t="s">
        <v>56</v>
      </c>
      <c r="B41" s="3">
        <v>46155</v>
      </c>
      <c r="C41" t="s">
        <v>19</v>
      </c>
      <c r="D41" t="s">
        <v>14</v>
      </c>
      <c r="E41" s="4">
        <v>1258.1600000000001</v>
      </c>
      <c r="F41">
        <v>155</v>
      </c>
      <c r="G41">
        <v>32</v>
      </c>
    </row>
    <row r="42" spans="1:7" ht="14.5" x14ac:dyDescent="0.35">
      <c r="A42" t="s">
        <v>57</v>
      </c>
      <c r="B42" s="3">
        <v>46021</v>
      </c>
      <c r="C42" t="s">
        <v>24</v>
      </c>
      <c r="D42" t="s">
        <v>43</v>
      </c>
      <c r="E42" s="4">
        <v>2823.43</v>
      </c>
      <c r="F42">
        <v>539</v>
      </c>
      <c r="G42">
        <v>122</v>
      </c>
    </row>
    <row r="43" spans="1:7" ht="14.5" x14ac:dyDescent="0.35">
      <c r="A43" t="s">
        <v>58</v>
      </c>
      <c r="B43" s="3">
        <v>45909</v>
      </c>
      <c r="C43" t="s">
        <v>24</v>
      </c>
      <c r="D43" t="s">
        <v>35</v>
      </c>
      <c r="E43" s="4">
        <v>4168.08</v>
      </c>
      <c r="F43">
        <v>815</v>
      </c>
      <c r="G43">
        <v>206</v>
      </c>
    </row>
    <row r="44" spans="1:7" ht="14.5" x14ac:dyDescent="0.35">
      <c r="A44" t="s">
        <v>59</v>
      </c>
      <c r="B44" s="3">
        <v>45674</v>
      </c>
      <c r="C44" t="s">
        <v>10</v>
      </c>
      <c r="D44" t="s">
        <v>43</v>
      </c>
      <c r="E44" s="4">
        <v>1273.23</v>
      </c>
      <c r="F44">
        <v>305</v>
      </c>
      <c r="G44">
        <v>53</v>
      </c>
    </row>
    <row r="45" spans="1:7" ht="14.5" x14ac:dyDescent="0.35">
      <c r="A45" t="s">
        <v>60</v>
      </c>
      <c r="B45" s="3">
        <v>45890</v>
      </c>
      <c r="C45" t="s">
        <v>61</v>
      </c>
      <c r="D45" t="s">
        <v>43</v>
      </c>
      <c r="E45" s="4">
        <v>1245.83</v>
      </c>
      <c r="F45">
        <v>178</v>
      </c>
      <c r="G45">
        <v>60</v>
      </c>
    </row>
    <row r="46" spans="1:7" ht="14.5" x14ac:dyDescent="0.35">
      <c r="A46" t="s">
        <v>62</v>
      </c>
      <c r="B46" s="3">
        <v>45857</v>
      </c>
      <c r="D46" t="s">
        <v>11</v>
      </c>
      <c r="E46" s="4">
        <v>4901.34</v>
      </c>
      <c r="F46">
        <v>892</v>
      </c>
      <c r="G46">
        <v>171</v>
      </c>
    </row>
    <row r="47" spans="1:7" ht="14.5" x14ac:dyDescent="0.35">
      <c r="A47" t="s">
        <v>63</v>
      </c>
      <c r="B47" s="3">
        <v>45867</v>
      </c>
      <c r="C47" t="s">
        <v>15</v>
      </c>
      <c r="D47" t="s">
        <v>11</v>
      </c>
      <c r="E47" s="4">
        <v>4346.26</v>
      </c>
      <c r="F47">
        <v>479</v>
      </c>
    </row>
    <row r="48" spans="1:7" ht="14.5" x14ac:dyDescent="0.35">
      <c r="A48" t="s">
        <v>64</v>
      </c>
      <c r="B48" s="3">
        <v>46036</v>
      </c>
      <c r="C48" t="s">
        <v>15</v>
      </c>
      <c r="D48" t="s">
        <v>11</v>
      </c>
      <c r="E48" s="4">
        <v>4817.75</v>
      </c>
      <c r="F48">
        <v>1049</v>
      </c>
      <c r="G48">
        <v>181</v>
      </c>
    </row>
    <row r="49" spans="1:7" ht="14.5" x14ac:dyDescent="0.35">
      <c r="B49" s="3">
        <v>46003</v>
      </c>
      <c r="C49" t="s">
        <v>24</v>
      </c>
      <c r="D49" t="s">
        <v>14</v>
      </c>
      <c r="E49" s="4">
        <v>851.41</v>
      </c>
      <c r="F49">
        <v>164</v>
      </c>
      <c r="G49">
        <v>35</v>
      </c>
    </row>
    <row r="50" spans="1:7" ht="14.5" x14ac:dyDescent="0.35">
      <c r="A50" t="s">
        <v>65</v>
      </c>
      <c r="B50" s="3">
        <v>45769</v>
      </c>
      <c r="C50" t="s">
        <v>24</v>
      </c>
      <c r="D50" t="s">
        <v>11</v>
      </c>
      <c r="E50" s="4">
        <v>1739.97</v>
      </c>
      <c r="F50">
        <v>404</v>
      </c>
      <c r="G50">
        <v>63</v>
      </c>
    </row>
    <row r="51" spans="1:7" ht="14.5" x14ac:dyDescent="0.35">
      <c r="A51" t="s">
        <v>66</v>
      </c>
      <c r="B51" s="3">
        <v>46050</v>
      </c>
      <c r="C51" t="s">
        <v>15</v>
      </c>
      <c r="D51" t="s">
        <v>35</v>
      </c>
      <c r="E51" s="4">
        <v>4965.01</v>
      </c>
      <c r="F51">
        <v>1009</v>
      </c>
      <c r="G51">
        <v>151</v>
      </c>
    </row>
    <row r="52" spans="1:7" ht="14.5" x14ac:dyDescent="0.35">
      <c r="A52" t="s">
        <v>67</v>
      </c>
      <c r="B52" s="3">
        <v>46097</v>
      </c>
      <c r="C52" t="s">
        <v>24</v>
      </c>
      <c r="D52" t="s">
        <v>14</v>
      </c>
      <c r="E52" s="4">
        <v>2058.15</v>
      </c>
      <c r="F52">
        <v>416</v>
      </c>
      <c r="G52">
        <v>83</v>
      </c>
    </row>
    <row r="53" spans="1:7" ht="14.5" x14ac:dyDescent="0.35">
      <c r="B53" s="3">
        <v>46085</v>
      </c>
      <c r="C53" t="s">
        <v>10</v>
      </c>
      <c r="D53" t="s">
        <v>35</v>
      </c>
      <c r="E53" s="4">
        <v>1936.71</v>
      </c>
      <c r="F53">
        <v>333</v>
      </c>
      <c r="G53">
        <v>59</v>
      </c>
    </row>
    <row r="54" spans="1:7" ht="14.5" x14ac:dyDescent="0.35">
      <c r="A54" t="s">
        <v>68</v>
      </c>
      <c r="B54" s="3">
        <v>45877</v>
      </c>
      <c r="C54" t="s">
        <v>15</v>
      </c>
      <c r="D54" t="s">
        <v>21</v>
      </c>
      <c r="E54" s="4">
        <v>1757.72</v>
      </c>
      <c r="F54">
        <v>287</v>
      </c>
      <c r="G54">
        <v>34</v>
      </c>
    </row>
    <row r="55" spans="1:7" ht="14.5" x14ac:dyDescent="0.35">
      <c r="A55" t="s">
        <v>69</v>
      </c>
      <c r="B55" s="3">
        <v>45938</v>
      </c>
      <c r="C55" t="s">
        <v>15</v>
      </c>
      <c r="D55" t="s">
        <v>70</v>
      </c>
      <c r="E55" s="4">
        <v>2412.9699999999998</v>
      </c>
      <c r="F55">
        <v>271</v>
      </c>
      <c r="G55">
        <v>26</v>
      </c>
    </row>
    <row r="56" spans="1:7" ht="14.5" x14ac:dyDescent="0.35">
      <c r="A56" t="s">
        <v>71</v>
      </c>
      <c r="B56" s="3">
        <v>46153</v>
      </c>
      <c r="C56" t="s">
        <v>19</v>
      </c>
      <c r="D56" t="s">
        <v>11</v>
      </c>
      <c r="E56" s="4">
        <v>2457.4899999999998</v>
      </c>
      <c r="F56">
        <v>238</v>
      </c>
      <c r="G56">
        <v>42</v>
      </c>
    </row>
    <row r="57" spans="1:7" ht="14.5" x14ac:dyDescent="0.35">
      <c r="A57" t="s">
        <v>72</v>
      </c>
      <c r="B57" s="3"/>
      <c r="C57" t="s">
        <v>24</v>
      </c>
      <c r="D57" t="s">
        <v>43</v>
      </c>
      <c r="E57" s="4">
        <v>1910.65</v>
      </c>
      <c r="F57">
        <v>351</v>
      </c>
      <c r="G57">
        <v>62</v>
      </c>
    </row>
    <row r="58" spans="1:7" ht="14.5" x14ac:dyDescent="0.35">
      <c r="A58" t="s">
        <v>73</v>
      </c>
      <c r="B58" s="3">
        <v>45874</v>
      </c>
      <c r="C58" t="s">
        <v>15</v>
      </c>
      <c r="D58" t="s">
        <v>14</v>
      </c>
      <c r="E58" s="4">
        <v>3357.04</v>
      </c>
      <c r="G58">
        <v>152</v>
      </c>
    </row>
    <row r="59" spans="1:7" ht="14.5" x14ac:dyDescent="0.35">
      <c r="A59" t="s">
        <v>74</v>
      </c>
      <c r="B59" s="3">
        <v>45818</v>
      </c>
      <c r="C59" t="s">
        <v>10</v>
      </c>
      <c r="D59" t="s">
        <v>43</v>
      </c>
      <c r="E59" s="4">
        <v>3832.39</v>
      </c>
      <c r="F59">
        <v>350</v>
      </c>
      <c r="G59">
        <v>100</v>
      </c>
    </row>
    <row r="60" spans="1:7" ht="14.5" x14ac:dyDescent="0.35">
      <c r="A60" t="s">
        <v>75</v>
      </c>
      <c r="B60" s="3">
        <v>45850</v>
      </c>
      <c r="C60" t="s">
        <v>76</v>
      </c>
      <c r="D60" t="s">
        <v>14</v>
      </c>
      <c r="E60" s="4">
        <v>3023.16</v>
      </c>
      <c r="F60">
        <v>749</v>
      </c>
      <c r="G60">
        <v>40</v>
      </c>
    </row>
    <row r="61" spans="1:7" ht="14.5" x14ac:dyDescent="0.35">
      <c r="A61" t="s">
        <v>77</v>
      </c>
      <c r="B61" s="3">
        <v>46176</v>
      </c>
      <c r="C61" t="s">
        <v>15</v>
      </c>
      <c r="D61" t="s">
        <v>17</v>
      </c>
      <c r="E61" s="4"/>
      <c r="F61">
        <v>334</v>
      </c>
      <c r="G61">
        <v>61</v>
      </c>
    </row>
    <row r="62" spans="1:7" ht="14.5" x14ac:dyDescent="0.35">
      <c r="A62" t="s">
        <v>78</v>
      </c>
      <c r="B62" s="3">
        <v>46155</v>
      </c>
      <c r="C62" t="s">
        <v>19</v>
      </c>
      <c r="D62" t="s">
        <v>35</v>
      </c>
      <c r="E62" s="4">
        <v>3245.87</v>
      </c>
      <c r="F62">
        <v>388</v>
      </c>
      <c r="G62">
        <v>68</v>
      </c>
    </row>
    <row r="63" spans="1:7" ht="14.5" x14ac:dyDescent="0.35">
      <c r="A63" t="s">
        <v>79</v>
      </c>
      <c r="B63" s="3">
        <v>46219</v>
      </c>
      <c r="C63" t="s">
        <v>10</v>
      </c>
      <c r="D63" t="s">
        <v>35</v>
      </c>
      <c r="E63" s="4">
        <v>595.54</v>
      </c>
      <c r="F63">
        <v>107</v>
      </c>
      <c r="G63">
        <v>17</v>
      </c>
    </row>
    <row r="64" spans="1:7" ht="14.5" x14ac:dyDescent="0.35">
      <c r="A64" t="s">
        <v>80</v>
      </c>
      <c r="B64" s="3"/>
      <c r="C64" t="s">
        <v>10</v>
      </c>
      <c r="D64" t="s">
        <v>17</v>
      </c>
      <c r="E64" s="4">
        <v>4768.82</v>
      </c>
      <c r="F64">
        <v>674</v>
      </c>
      <c r="G64">
        <v>177</v>
      </c>
    </row>
    <row r="65" spans="1:7" ht="14.5" x14ac:dyDescent="0.35">
      <c r="A65" t="s">
        <v>81</v>
      </c>
      <c r="B65" s="3">
        <v>45748</v>
      </c>
      <c r="C65" t="s">
        <v>24</v>
      </c>
      <c r="D65" t="s">
        <v>17</v>
      </c>
      <c r="E65" s="4">
        <v>2339.96</v>
      </c>
      <c r="G65">
        <v>74</v>
      </c>
    </row>
    <row r="66" spans="1:7" ht="14.5" x14ac:dyDescent="0.35">
      <c r="A66" t="s">
        <v>82</v>
      </c>
      <c r="B66" s="3">
        <v>45906</v>
      </c>
      <c r="C66" t="s">
        <v>83</v>
      </c>
      <c r="D66" t="s">
        <v>43</v>
      </c>
      <c r="E66" s="4">
        <v>3682.58</v>
      </c>
      <c r="G66">
        <v>96</v>
      </c>
    </row>
    <row r="67" spans="1:7" ht="14.5" x14ac:dyDescent="0.35">
      <c r="A67" t="s">
        <v>84</v>
      </c>
      <c r="B67" s="3">
        <v>45675</v>
      </c>
      <c r="C67" t="s">
        <v>15</v>
      </c>
      <c r="D67" t="s">
        <v>17</v>
      </c>
      <c r="E67" s="4">
        <v>2407.33</v>
      </c>
      <c r="F67">
        <v>422</v>
      </c>
      <c r="G67">
        <v>86</v>
      </c>
    </row>
    <row r="68" spans="1:7" ht="14.5" x14ac:dyDescent="0.35">
      <c r="A68" t="s">
        <v>85</v>
      </c>
      <c r="B68" s="3">
        <v>45817</v>
      </c>
      <c r="C68" t="s">
        <v>15</v>
      </c>
      <c r="D68" t="s">
        <v>35</v>
      </c>
      <c r="E68" s="4">
        <v>3733.62</v>
      </c>
      <c r="F68">
        <v>520</v>
      </c>
      <c r="G68">
        <v>-4</v>
      </c>
    </row>
    <row r="69" spans="1:7" ht="14.5" x14ac:dyDescent="0.35">
      <c r="A69" t="s">
        <v>86</v>
      </c>
      <c r="B69" s="3">
        <v>45745</v>
      </c>
      <c r="C69" t="s">
        <v>10</v>
      </c>
      <c r="D69" t="s">
        <v>11</v>
      </c>
      <c r="E69" s="4">
        <v>461.86</v>
      </c>
      <c r="F69">
        <v>57</v>
      </c>
      <c r="G69">
        <v>13</v>
      </c>
    </row>
    <row r="70" spans="1:7" ht="14.5" x14ac:dyDescent="0.35">
      <c r="A70" t="s">
        <v>87</v>
      </c>
      <c r="B70" s="3">
        <v>46003</v>
      </c>
      <c r="C70" t="s">
        <v>10</v>
      </c>
      <c r="D70" t="s">
        <v>11</v>
      </c>
      <c r="E70" s="4">
        <v>3032.49</v>
      </c>
      <c r="F70">
        <v>397</v>
      </c>
      <c r="G70">
        <v>98</v>
      </c>
    </row>
    <row r="71" spans="1:7" ht="14.5" x14ac:dyDescent="0.35">
      <c r="A71" t="s">
        <v>88</v>
      </c>
      <c r="B71" s="3">
        <v>45728</v>
      </c>
      <c r="C71" t="s">
        <v>76</v>
      </c>
      <c r="D71" t="s">
        <v>14</v>
      </c>
      <c r="E71" s="4">
        <v>1656.74</v>
      </c>
      <c r="F71">
        <v>182</v>
      </c>
      <c r="G71">
        <v>12</v>
      </c>
    </row>
    <row r="72" spans="1:7" ht="14.5" x14ac:dyDescent="0.35">
      <c r="A72" t="s">
        <v>89</v>
      </c>
      <c r="B72" s="3">
        <v>46017</v>
      </c>
      <c r="C72" t="s">
        <v>24</v>
      </c>
      <c r="D72" t="s">
        <v>17</v>
      </c>
      <c r="E72" s="4">
        <v>2655.84</v>
      </c>
      <c r="F72">
        <v>282</v>
      </c>
      <c r="G72">
        <v>45</v>
      </c>
    </row>
    <row r="73" spans="1:7" ht="14.5" x14ac:dyDescent="0.35">
      <c r="A73" t="s">
        <v>90</v>
      </c>
      <c r="B73" s="3">
        <v>45838</v>
      </c>
      <c r="C73" t="s">
        <v>24</v>
      </c>
      <c r="D73" t="s">
        <v>14</v>
      </c>
      <c r="E73" s="4">
        <v>2067.63</v>
      </c>
      <c r="F73">
        <v>379</v>
      </c>
      <c r="G73">
        <v>91</v>
      </c>
    </row>
    <row r="74" spans="1:7" ht="14.5" x14ac:dyDescent="0.35">
      <c r="A74" t="s">
        <v>29</v>
      </c>
      <c r="B74" s="3">
        <v>46100</v>
      </c>
      <c r="C74" t="s">
        <v>10</v>
      </c>
      <c r="D74" t="s">
        <v>21</v>
      </c>
      <c r="E74" s="4">
        <v>2263.59</v>
      </c>
      <c r="F74">
        <v>309</v>
      </c>
      <c r="G74">
        <v>69</v>
      </c>
    </row>
    <row r="75" spans="1:7" ht="14.5" x14ac:dyDescent="0.35">
      <c r="B75" s="3">
        <v>45894</v>
      </c>
      <c r="C75" t="s">
        <v>24</v>
      </c>
      <c r="D75" t="s">
        <v>35</v>
      </c>
      <c r="E75" s="4">
        <v>2644.89</v>
      </c>
      <c r="F75">
        <v>432</v>
      </c>
      <c r="G75">
        <v>79</v>
      </c>
    </row>
    <row r="76" spans="1:7" ht="14.5" x14ac:dyDescent="0.35">
      <c r="A76" t="s">
        <v>91</v>
      </c>
      <c r="B76" s="3">
        <v>45789</v>
      </c>
      <c r="C76" t="s">
        <v>15</v>
      </c>
      <c r="D76" t="s">
        <v>17</v>
      </c>
      <c r="E76" s="4">
        <v>3026.05</v>
      </c>
      <c r="F76">
        <v>589</v>
      </c>
      <c r="G76">
        <v>88</v>
      </c>
    </row>
    <row r="77" spans="1:7" ht="14.5" x14ac:dyDescent="0.35">
      <c r="A77" t="s">
        <v>92</v>
      </c>
      <c r="B77" s="3">
        <v>46115</v>
      </c>
      <c r="C77" t="s">
        <v>10</v>
      </c>
      <c r="D77" t="s">
        <v>11</v>
      </c>
      <c r="E77" s="4"/>
      <c r="F77">
        <v>471</v>
      </c>
      <c r="G77">
        <v>112</v>
      </c>
    </row>
    <row r="78" spans="1:7" ht="14.5" x14ac:dyDescent="0.35">
      <c r="A78" t="s">
        <v>93</v>
      </c>
      <c r="B78" s="3">
        <v>45878</v>
      </c>
      <c r="C78" t="s">
        <v>76</v>
      </c>
      <c r="E78" s="4">
        <v>10024</v>
      </c>
      <c r="F78">
        <v>220</v>
      </c>
      <c r="G78">
        <v>32</v>
      </c>
    </row>
    <row r="79" spans="1:7" ht="14.5" x14ac:dyDescent="0.35">
      <c r="A79" t="s">
        <v>94</v>
      </c>
      <c r="B79" s="3"/>
      <c r="C79" t="s">
        <v>19</v>
      </c>
      <c r="D79" t="s">
        <v>11</v>
      </c>
      <c r="E79" s="4">
        <v>4719.42</v>
      </c>
      <c r="F79">
        <v>1169</v>
      </c>
      <c r="G79">
        <v>210</v>
      </c>
    </row>
    <row r="80" spans="1:7" ht="14.5" x14ac:dyDescent="0.35">
      <c r="A80" t="s">
        <v>95</v>
      </c>
      <c r="B80" s="3">
        <v>45715</v>
      </c>
      <c r="C80" t="s">
        <v>24</v>
      </c>
      <c r="D80" t="s">
        <v>35</v>
      </c>
      <c r="E80" s="4">
        <v>4203.28</v>
      </c>
      <c r="F80">
        <v>361</v>
      </c>
      <c r="G80">
        <v>72</v>
      </c>
    </row>
    <row r="81" spans="1:7" ht="14.5" x14ac:dyDescent="0.35">
      <c r="A81" t="s">
        <v>96</v>
      </c>
      <c r="B81" s="3">
        <v>46200</v>
      </c>
      <c r="C81" t="s">
        <v>10</v>
      </c>
      <c r="D81" t="s">
        <v>35</v>
      </c>
      <c r="E81" s="4">
        <v>464.54</v>
      </c>
      <c r="F81">
        <v>76</v>
      </c>
      <c r="G81">
        <v>20</v>
      </c>
    </row>
    <row r="82" spans="1:7" ht="14.5" x14ac:dyDescent="0.35">
      <c r="A82" t="s">
        <v>97</v>
      </c>
      <c r="B82" s="3">
        <v>46103</v>
      </c>
      <c r="C82" t="s">
        <v>24</v>
      </c>
      <c r="D82" t="s">
        <v>11</v>
      </c>
      <c r="E82" s="4"/>
      <c r="F82">
        <v>372</v>
      </c>
      <c r="G82">
        <v>78</v>
      </c>
    </row>
    <row r="83" spans="1:7" ht="14.5" x14ac:dyDescent="0.35">
      <c r="A83" t="s">
        <v>98</v>
      </c>
      <c r="B83" s="3">
        <v>46006</v>
      </c>
      <c r="D83" t="s">
        <v>11</v>
      </c>
      <c r="E83" s="4">
        <v>2374.5100000000002</v>
      </c>
      <c r="F83">
        <v>537</v>
      </c>
      <c r="G83">
        <v>112</v>
      </c>
    </row>
    <row r="84" spans="1:7" ht="14.5" x14ac:dyDescent="0.35">
      <c r="A84" t="s">
        <v>99</v>
      </c>
      <c r="B84" s="3">
        <v>45673</v>
      </c>
      <c r="C84" t="s">
        <v>24</v>
      </c>
      <c r="D84" t="s">
        <v>17</v>
      </c>
      <c r="E84" s="4">
        <v>1178.29</v>
      </c>
      <c r="F84">
        <v>174</v>
      </c>
      <c r="G84">
        <v>38</v>
      </c>
    </row>
    <row r="85" spans="1:7" ht="14.5" x14ac:dyDescent="0.35">
      <c r="A85" t="s">
        <v>100</v>
      </c>
      <c r="B85" s="3">
        <v>45734</v>
      </c>
      <c r="C85" t="s">
        <v>19</v>
      </c>
      <c r="D85" t="s">
        <v>11</v>
      </c>
      <c r="E85" s="4">
        <v>1857.7</v>
      </c>
      <c r="F85">
        <v>309</v>
      </c>
      <c r="G85">
        <v>42</v>
      </c>
    </row>
    <row r="86" spans="1:7" ht="14.5" x14ac:dyDescent="0.35">
      <c r="A86" t="s">
        <v>101</v>
      </c>
      <c r="B86" s="3">
        <v>46053</v>
      </c>
      <c r="D86" t="s">
        <v>17</v>
      </c>
      <c r="E86" s="4">
        <v>3708.29</v>
      </c>
      <c r="F86">
        <v>637</v>
      </c>
      <c r="G86">
        <v>77</v>
      </c>
    </row>
    <row r="87" spans="1:7" ht="14.5" x14ac:dyDescent="0.35">
      <c r="A87" t="s">
        <v>102</v>
      </c>
      <c r="B87" s="3">
        <v>45910</v>
      </c>
      <c r="C87" t="s">
        <v>10</v>
      </c>
      <c r="D87" t="s">
        <v>11</v>
      </c>
      <c r="E87" s="4">
        <v>1245.05</v>
      </c>
      <c r="F87">
        <v>135</v>
      </c>
      <c r="G87">
        <v>28</v>
      </c>
    </row>
    <row r="88" spans="1:7" ht="14.5" x14ac:dyDescent="0.35">
      <c r="A88" t="s">
        <v>103</v>
      </c>
      <c r="B88" s="3">
        <v>45744</v>
      </c>
      <c r="C88" t="s">
        <v>15</v>
      </c>
      <c r="D88" t="s">
        <v>21</v>
      </c>
      <c r="E88" s="4">
        <v>2426.4499999999998</v>
      </c>
      <c r="F88">
        <v>221</v>
      </c>
      <c r="G88">
        <v>54</v>
      </c>
    </row>
    <row r="89" spans="1:7" ht="14.5" x14ac:dyDescent="0.35">
      <c r="A89" t="s">
        <v>104</v>
      </c>
      <c r="B89" s="3">
        <v>46063</v>
      </c>
      <c r="C89" t="s">
        <v>76</v>
      </c>
      <c r="D89" t="s">
        <v>14</v>
      </c>
      <c r="E89" s="4">
        <v>1395.38</v>
      </c>
      <c r="F89">
        <v>115</v>
      </c>
      <c r="G89">
        <v>14</v>
      </c>
    </row>
    <row r="90" spans="1:7" ht="14.5" x14ac:dyDescent="0.35">
      <c r="A90" t="s">
        <v>105</v>
      </c>
      <c r="B90" s="3">
        <v>46179</v>
      </c>
      <c r="C90" t="s">
        <v>24</v>
      </c>
      <c r="D90" t="s">
        <v>17</v>
      </c>
      <c r="E90" s="4">
        <v>2959.61</v>
      </c>
      <c r="F90">
        <v>393</v>
      </c>
      <c r="G90">
        <v>75</v>
      </c>
    </row>
    <row r="91" spans="1:7" ht="14.5" x14ac:dyDescent="0.35">
      <c r="A91" t="s">
        <v>106</v>
      </c>
      <c r="B91" s="3">
        <v>46232</v>
      </c>
      <c r="C91" t="s">
        <v>19</v>
      </c>
      <c r="D91" t="s">
        <v>21</v>
      </c>
      <c r="E91" s="4">
        <v>3750.07</v>
      </c>
      <c r="F91">
        <v>877</v>
      </c>
      <c r="G91">
        <v>221</v>
      </c>
    </row>
    <row r="92" spans="1:7" ht="14.5" x14ac:dyDescent="0.35">
      <c r="A92" t="s">
        <v>107</v>
      </c>
      <c r="B92" s="3">
        <v>46101</v>
      </c>
      <c r="C92" t="s">
        <v>76</v>
      </c>
      <c r="D92" t="s">
        <v>11</v>
      </c>
      <c r="E92" s="4">
        <v>3169.93</v>
      </c>
      <c r="F92">
        <v>615</v>
      </c>
      <c r="G92">
        <v>62</v>
      </c>
    </row>
    <row r="93" spans="1:7" ht="14.5" x14ac:dyDescent="0.35">
      <c r="A93" t="s">
        <v>108</v>
      </c>
      <c r="B93" s="3">
        <v>45870</v>
      </c>
      <c r="C93" t="s">
        <v>15</v>
      </c>
      <c r="D93" t="s">
        <v>17</v>
      </c>
      <c r="E93" s="4">
        <v>430.74</v>
      </c>
      <c r="F93">
        <v>79</v>
      </c>
      <c r="G93">
        <v>12</v>
      </c>
    </row>
    <row r="94" spans="1:7" ht="14.5" x14ac:dyDescent="0.35">
      <c r="A94" t="s">
        <v>109</v>
      </c>
      <c r="B94" s="3">
        <v>46164</v>
      </c>
      <c r="C94" t="s">
        <v>10</v>
      </c>
      <c r="D94" t="s">
        <v>35</v>
      </c>
      <c r="E94" s="4">
        <v>1524.32</v>
      </c>
      <c r="F94">
        <v>371</v>
      </c>
      <c r="G94">
        <v>104</v>
      </c>
    </row>
    <row r="95" spans="1:7" ht="14.5" x14ac:dyDescent="0.35">
      <c r="A95" t="s">
        <v>110</v>
      </c>
      <c r="B95" s="3">
        <v>46176</v>
      </c>
      <c r="C95" t="s">
        <v>24</v>
      </c>
      <c r="D95" t="s">
        <v>43</v>
      </c>
      <c r="E95" s="4">
        <v>2937.63</v>
      </c>
      <c r="G95">
        <v>154</v>
      </c>
    </row>
    <row r="96" spans="1:7" ht="14.5" x14ac:dyDescent="0.35">
      <c r="A96" t="s">
        <v>111</v>
      </c>
      <c r="B96" s="3">
        <v>45906</v>
      </c>
      <c r="C96" t="s">
        <v>24</v>
      </c>
      <c r="D96" t="s">
        <v>43</v>
      </c>
      <c r="E96" s="4">
        <v>1901.11</v>
      </c>
      <c r="F96">
        <v>362</v>
      </c>
      <c r="G96">
        <v>73</v>
      </c>
    </row>
    <row r="97" spans="1:7" ht="14.5" x14ac:dyDescent="0.35">
      <c r="A97" t="s">
        <v>112</v>
      </c>
      <c r="B97" s="3">
        <v>45834</v>
      </c>
      <c r="C97" t="s">
        <v>19</v>
      </c>
      <c r="D97" t="s">
        <v>11</v>
      </c>
      <c r="E97" s="4">
        <v>2155.5</v>
      </c>
      <c r="F97">
        <v>224</v>
      </c>
      <c r="G97">
        <v>44</v>
      </c>
    </row>
    <row r="98" spans="1:7" ht="14.5" x14ac:dyDescent="0.35">
      <c r="A98" t="s">
        <v>113</v>
      </c>
      <c r="B98" s="3">
        <v>45949</v>
      </c>
      <c r="C98" t="s">
        <v>19</v>
      </c>
      <c r="D98" t="s">
        <v>35</v>
      </c>
      <c r="E98" s="4">
        <v>279</v>
      </c>
      <c r="F98">
        <v>43</v>
      </c>
      <c r="G98">
        <v>8</v>
      </c>
    </row>
    <row r="99" spans="1:7" ht="14.5" x14ac:dyDescent="0.35">
      <c r="A99" t="s">
        <v>114</v>
      </c>
      <c r="B99" s="3">
        <v>45767</v>
      </c>
      <c r="C99" t="s">
        <v>15</v>
      </c>
      <c r="D99" t="s">
        <v>115</v>
      </c>
      <c r="E99" s="4">
        <v>617.57000000000005</v>
      </c>
      <c r="F99">
        <v>96</v>
      </c>
      <c r="G99">
        <v>17</v>
      </c>
    </row>
    <row r="100" spans="1:7" ht="14.5" x14ac:dyDescent="0.35">
      <c r="A100" t="s">
        <v>116</v>
      </c>
      <c r="B100" s="3">
        <v>45878</v>
      </c>
      <c r="C100" t="s">
        <v>24</v>
      </c>
      <c r="D100" t="s">
        <v>11</v>
      </c>
      <c r="E100" s="4">
        <v>1552.76</v>
      </c>
      <c r="F100">
        <v>314</v>
      </c>
      <c r="G100">
        <v>39</v>
      </c>
    </row>
    <row r="101" spans="1:7" ht="14.5" x14ac:dyDescent="0.35">
      <c r="A101" t="s">
        <v>117</v>
      </c>
      <c r="B101" s="3">
        <v>45701</v>
      </c>
      <c r="C101" t="s">
        <v>15</v>
      </c>
      <c r="D101" t="s">
        <v>17</v>
      </c>
      <c r="E101" s="4">
        <v>4354.53</v>
      </c>
      <c r="G101">
        <v>48</v>
      </c>
    </row>
    <row r="102" spans="1:7" ht="14.5" x14ac:dyDescent="0.35">
      <c r="A102" t="s">
        <v>118</v>
      </c>
      <c r="B102" s="3">
        <v>45870</v>
      </c>
      <c r="C102" t="s">
        <v>10</v>
      </c>
      <c r="D102" t="s">
        <v>14</v>
      </c>
      <c r="E102" s="4">
        <v>4824.93</v>
      </c>
      <c r="F102">
        <v>437</v>
      </c>
      <c r="G102">
        <v>122</v>
      </c>
    </row>
    <row r="103" spans="1:7" ht="14.5" x14ac:dyDescent="0.35">
      <c r="A103" t="s">
        <v>119</v>
      </c>
      <c r="B103" s="3">
        <v>45857</v>
      </c>
      <c r="C103" t="s">
        <v>15</v>
      </c>
      <c r="D103" t="s">
        <v>11</v>
      </c>
      <c r="E103" s="4">
        <v>3735.12</v>
      </c>
      <c r="F103">
        <v>887</v>
      </c>
      <c r="G103">
        <v>149</v>
      </c>
    </row>
    <row r="104" spans="1:7" ht="14.5" x14ac:dyDescent="0.35">
      <c r="A104" t="s">
        <v>120</v>
      </c>
      <c r="B104" s="3">
        <v>45925</v>
      </c>
      <c r="D104" t="s">
        <v>17</v>
      </c>
      <c r="E104" s="4">
        <v>442.02</v>
      </c>
      <c r="F104">
        <v>71</v>
      </c>
      <c r="G104">
        <v>19</v>
      </c>
    </row>
    <row r="105" spans="1:7" ht="14.5" x14ac:dyDescent="0.35">
      <c r="A105" t="s">
        <v>121</v>
      </c>
      <c r="B105" s="3">
        <v>45916</v>
      </c>
      <c r="C105" t="s">
        <v>24</v>
      </c>
      <c r="D105" t="s">
        <v>17</v>
      </c>
      <c r="E105" s="4">
        <v>4603.4399999999996</v>
      </c>
      <c r="F105">
        <v>1005</v>
      </c>
      <c r="G105">
        <v>178</v>
      </c>
    </row>
    <row r="106" spans="1:7" ht="14.5" x14ac:dyDescent="0.35">
      <c r="A106" t="s">
        <v>122</v>
      </c>
      <c r="B106" s="3">
        <v>46049</v>
      </c>
      <c r="C106" t="s">
        <v>24</v>
      </c>
      <c r="D106" t="s">
        <v>11</v>
      </c>
      <c r="E106" s="4">
        <v>1824.13</v>
      </c>
      <c r="F106">
        <v>224</v>
      </c>
    </row>
    <row r="107" spans="1:7" ht="14.5" x14ac:dyDescent="0.35">
      <c r="A107" t="s">
        <v>123</v>
      </c>
      <c r="B107" s="3">
        <v>46006</v>
      </c>
      <c r="C107" t="s">
        <v>19</v>
      </c>
      <c r="D107" t="s">
        <v>43</v>
      </c>
      <c r="E107" s="4">
        <v>4886.1400000000003</v>
      </c>
      <c r="F107">
        <v>551</v>
      </c>
      <c r="G107">
        <v>79</v>
      </c>
    </row>
    <row r="108" spans="1:7" ht="14.5" x14ac:dyDescent="0.35">
      <c r="A108" t="s">
        <v>124</v>
      </c>
      <c r="B108" s="3">
        <v>45784</v>
      </c>
      <c r="C108" t="s">
        <v>15</v>
      </c>
      <c r="D108" t="s">
        <v>35</v>
      </c>
      <c r="E108" s="4"/>
      <c r="F108">
        <v>459</v>
      </c>
      <c r="G108">
        <v>82</v>
      </c>
    </row>
    <row r="109" spans="1:7" ht="14.5" x14ac:dyDescent="0.35">
      <c r="A109" t="s">
        <v>125</v>
      </c>
      <c r="B109" s="3">
        <v>45874</v>
      </c>
      <c r="C109" t="s">
        <v>76</v>
      </c>
      <c r="D109" t="s">
        <v>11</v>
      </c>
      <c r="E109" s="4">
        <v>4259.53</v>
      </c>
      <c r="F109">
        <v>393</v>
      </c>
      <c r="G109">
        <v>45</v>
      </c>
    </row>
    <row r="110" spans="1:7" ht="14.5" x14ac:dyDescent="0.35">
      <c r="A110" t="s">
        <v>126</v>
      </c>
      <c r="B110" s="3">
        <v>45869</v>
      </c>
      <c r="D110" t="s">
        <v>11</v>
      </c>
      <c r="E110" s="4">
        <v>1534.26</v>
      </c>
      <c r="F110">
        <v>281</v>
      </c>
      <c r="G110">
        <v>30</v>
      </c>
    </row>
    <row r="111" spans="1:7" ht="14.5" x14ac:dyDescent="0.35">
      <c r="B111" s="3">
        <v>45803</v>
      </c>
      <c r="C111" t="s">
        <v>76</v>
      </c>
      <c r="D111" t="s">
        <v>43</v>
      </c>
      <c r="E111" s="4">
        <v>3315.37</v>
      </c>
      <c r="F111">
        <v>691</v>
      </c>
      <c r="G111">
        <v>13</v>
      </c>
    </row>
    <row r="112" spans="1:7" ht="14.5" x14ac:dyDescent="0.35">
      <c r="B112" s="3">
        <v>46039</v>
      </c>
      <c r="C112" t="s">
        <v>15</v>
      </c>
      <c r="D112" t="s">
        <v>11</v>
      </c>
      <c r="E112" s="4">
        <v>811.21</v>
      </c>
      <c r="F112">
        <v>91</v>
      </c>
      <c r="G112">
        <v>19</v>
      </c>
    </row>
    <row r="113" spans="1:7" ht="14.5" x14ac:dyDescent="0.35">
      <c r="A113" t="s">
        <v>127</v>
      </c>
      <c r="B113" s="3">
        <v>46126</v>
      </c>
      <c r="C113" t="s">
        <v>15</v>
      </c>
      <c r="D113" t="s">
        <v>11</v>
      </c>
      <c r="E113" s="4">
        <v>4609.66</v>
      </c>
      <c r="G113">
        <v>121</v>
      </c>
    </row>
    <row r="114" spans="1:7" ht="14.5" x14ac:dyDescent="0.35">
      <c r="A114" t="s">
        <v>128</v>
      </c>
      <c r="B114" s="3">
        <v>46174</v>
      </c>
      <c r="C114" t="s">
        <v>15</v>
      </c>
      <c r="D114" t="s">
        <v>21</v>
      </c>
      <c r="E114" s="4">
        <v>3759.67</v>
      </c>
      <c r="F114">
        <v>516</v>
      </c>
      <c r="G114">
        <v>46</v>
      </c>
    </row>
    <row r="115" spans="1:7" ht="14.5" x14ac:dyDescent="0.35">
      <c r="A115" t="s">
        <v>129</v>
      </c>
      <c r="B115" s="3">
        <v>45813</v>
      </c>
      <c r="C115" t="s">
        <v>19</v>
      </c>
      <c r="D115" t="s">
        <v>21</v>
      </c>
      <c r="E115" s="4">
        <v>3053.83</v>
      </c>
      <c r="F115">
        <v>332</v>
      </c>
      <c r="G115">
        <v>72</v>
      </c>
    </row>
    <row r="116" spans="1:7" ht="14.5" x14ac:dyDescent="0.35">
      <c r="A116" t="s">
        <v>130</v>
      </c>
      <c r="B116" s="3">
        <v>45710</v>
      </c>
      <c r="C116" t="s">
        <v>15</v>
      </c>
      <c r="D116" t="s">
        <v>43</v>
      </c>
      <c r="E116" s="4">
        <v>3697.57</v>
      </c>
      <c r="F116">
        <v>344</v>
      </c>
      <c r="G116">
        <v>60</v>
      </c>
    </row>
    <row r="117" spans="1:7" ht="14.5" x14ac:dyDescent="0.35">
      <c r="A117" t="s">
        <v>131</v>
      </c>
      <c r="B117" s="3">
        <v>45695</v>
      </c>
      <c r="C117" t="s">
        <v>15</v>
      </c>
      <c r="D117" t="s">
        <v>11</v>
      </c>
      <c r="E117" s="4">
        <v>466.08</v>
      </c>
      <c r="F117">
        <v>54</v>
      </c>
      <c r="G117">
        <v>9</v>
      </c>
    </row>
    <row r="118" spans="1:7" ht="14.5" x14ac:dyDescent="0.35">
      <c r="A118" t="s">
        <v>132</v>
      </c>
      <c r="B118" s="3">
        <v>45918</v>
      </c>
      <c r="C118" t="s">
        <v>10</v>
      </c>
      <c r="D118" t="s">
        <v>11</v>
      </c>
      <c r="E118" s="4">
        <v>3032.39</v>
      </c>
      <c r="F118">
        <v>654</v>
      </c>
      <c r="G118">
        <v>187</v>
      </c>
    </row>
    <row r="119" spans="1:7" ht="14.5" x14ac:dyDescent="0.35">
      <c r="A119" t="s">
        <v>133</v>
      </c>
      <c r="B119" s="3"/>
      <c r="C119" t="s">
        <v>10</v>
      </c>
      <c r="D119" t="s">
        <v>43</v>
      </c>
      <c r="E119" s="4">
        <v>1808.06</v>
      </c>
      <c r="F119">
        <v>301</v>
      </c>
      <c r="G119">
        <v>83</v>
      </c>
    </row>
    <row r="120" spans="1:7" ht="14.5" x14ac:dyDescent="0.35">
      <c r="A120" t="s">
        <v>134</v>
      </c>
      <c r="B120" s="3">
        <v>46000</v>
      </c>
      <c r="C120" t="s">
        <v>76</v>
      </c>
      <c r="D120" t="s">
        <v>14</v>
      </c>
      <c r="E120" s="4">
        <v>4596.24</v>
      </c>
      <c r="F120">
        <v>446</v>
      </c>
      <c r="G120">
        <v>33</v>
      </c>
    </row>
    <row r="121" spans="1:7" ht="14.5" x14ac:dyDescent="0.35">
      <c r="A121" t="s">
        <v>135</v>
      </c>
      <c r="B121" s="3">
        <v>45952</v>
      </c>
      <c r="C121" t="s">
        <v>15</v>
      </c>
      <c r="D121" t="s">
        <v>14</v>
      </c>
      <c r="E121" s="4"/>
      <c r="F121">
        <v>887</v>
      </c>
      <c r="G121">
        <v>92</v>
      </c>
    </row>
    <row r="122" spans="1:7" ht="14.5" x14ac:dyDescent="0.35">
      <c r="A122" t="s">
        <v>136</v>
      </c>
      <c r="B122" s="3">
        <v>45820</v>
      </c>
      <c r="C122" t="s">
        <v>10</v>
      </c>
      <c r="D122" t="s">
        <v>11</v>
      </c>
      <c r="E122" s="4">
        <v>1171.08</v>
      </c>
      <c r="F122">
        <v>239</v>
      </c>
      <c r="G122">
        <v>77</v>
      </c>
    </row>
    <row r="123" spans="1:7" ht="14.5" x14ac:dyDescent="0.35">
      <c r="B123" s="3">
        <v>46049</v>
      </c>
      <c r="C123" t="s">
        <v>15</v>
      </c>
      <c r="D123" t="s">
        <v>11</v>
      </c>
      <c r="E123" s="4">
        <v>4535.59</v>
      </c>
      <c r="F123">
        <v>515</v>
      </c>
      <c r="G123">
        <v>102</v>
      </c>
    </row>
    <row r="124" spans="1:7" ht="14.5" x14ac:dyDescent="0.35">
      <c r="A124" t="s">
        <v>137</v>
      </c>
      <c r="B124" s="3">
        <v>45952</v>
      </c>
      <c r="C124" t="s">
        <v>10</v>
      </c>
      <c r="D124" t="s">
        <v>21</v>
      </c>
      <c r="E124" s="4">
        <v>2516.86</v>
      </c>
      <c r="F124">
        <v>396</v>
      </c>
      <c r="G124">
        <v>105</v>
      </c>
    </row>
    <row r="125" spans="1:7" ht="14.5" x14ac:dyDescent="0.35">
      <c r="A125" t="s">
        <v>138</v>
      </c>
      <c r="B125" s="3">
        <v>45775</v>
      </c>
      <c r="C125" t="s">
        <v>15</v>
      </c>
      <c r="D125" t="s">
        <v>43</v>
      </c>
      <c r="E125" s="4">
        <v>4480.3999999999996</v>
      </c>
      <c r="F125">
        <v>623</v>
      </c>
      <c r="G125">
        <v>137</v>
      </c>
    </row>
    <row r="126" spans="1:7" ht="14.5" x14ac:dyDescent="0.35">
      <c r="A126" t="s">
        <v>139</v>
      </c>
      <c r="B126" s="3">
        <v>45987</v>
      </c>
      <c r="C126" t="s">
        <v>10</v>
      </c>
      <c r="D126" t="s">
        <v>43</v>
      </c>
      <c r="E126" s="4">
        <v>1871.59</v>
      </c>
      <c r="F126">
        <v>449</v>
      </c>
      <c r="G126">
        <v>126</v>
      </c>
    </row>
    <row r="127" spans="1:7" ht="14.5" x14ac:dyDescent="0.35">
      <c r="A127" t="s">
        <v>140</v>
      </c>
      <c r="B127" s="3">
        <v>45799</v>
      </c>
      <c r="C127" t="s">
        <v>19</v>
      </c>
      <c r="D127" t="s">
        <v>11</v>
      </c>
      <c r="E127" s="4">
        <v>1114.46</v>
      </c>
      <c r="G127">
        <v>15</v>
      </c>
    </row>
    <row r="128" spans="1:7" ht="14.5" x14ac:dyDescent="0.35">
      <c r="A128" t="s">
        <v>141</v>
      </c>
      <c r="B128" s="3"/>
      <c r="C128" t="s">
        <v>15</v>
      </c>
      <c r="D128" t="s">
        <v>11</v>
      </c>
      <c r="E128" s="4">
        <v>3820.16</v>
      </c>
      <c r="F128">
        <v>404</v>
      </c>
      <c r="G128">
        <v>44</v>
      </c>
    </row>
    <row r="129" spans="1:7" ht="14.5" x14ac:dyDescent="0.35">
      <c r="A129" t="s">
        <v>142</v>
      </c>
      <c r="B129" s="3">
        <v>45860</v>
      </c>
      <c r="C129" t="s">
        <v>15</v>
      </c>
      <c r="D129" t="s">
        <v>17</v>
      </c>
      <c r="E129" s="4">
        <v>3984.76</v>
      </c>
      <c r="F129">
        <v>836</v>
      </c>
      <c r="G129">
        <v>146</v>
      </c>
    </row>
    <row r="130" spans="1:7" ht="14.5" x14ac:dyDescent="0.35">
      <c r="A130" t="s">
        <v>143</v>
      </c>
      <c r="B130" s="3">
        <v>46133</v>
      </c>
      <c r="D130" t="s">
        <v>11</v>
      </c>
      <c r="E130" s="4">
        <v>4136.17</v>
      </c>
      <c r="F130">
        <v>868</v>
      </c>
      <c r="G130">
        <v>236</v>
      </c>
    </row>
    <row r="131" spans="1:7" ht="14.5" x14ac:dyDescent="0.35">
      <c r="A131" t="s">
        <v>144</v>
      </c>
      <c r="B131" s="3">
        <v>45701</v>
      </c>
      <c r="C131" t="s">
        <v>10</v>
      </c>
      <c r="D131" t="s">
        <v>43</v>
      </c>
      <c r="E131" s="4">
        <v>1886.26</v>
      </c>
      <c r="F131">
        <v>2020</v>
      </c>
      <c r="G131">
        <v>64</v>
      </c>
    </row>
    <row r="132" spans="1:7" ht="14.5" x14ac:dyDescent="0.35">
      <c r="A132" t="s">
        <v>145</v>
      </c>
      <c r="B132" s="3">
        <v>45827</v>
      </c>
      <c r="C132" t="s">
        <v>15</v>
      </c>
      <c r="D132" t="s">
        <v>11</v>
      </c>
      <c r="E132" s="4">
        <v>2545.5100000000002</v>
      </c>
      <c r="F132">
        <v>317</v>
      </c>
      <c r="G132">
        <v>62</v>
      </c>
    </row>
    <row r="133" spans="1:7" ht="14.5" x14ac:dyDescent="0.35">
      <c r="A133" t="s">
        <v>146</v>
      </c>
      <c r="B133" s="3">
        <v>46086</v>
      </c>
      <c r="C133" t="s">
        <v>10</v>
      </c>
      <c r="D133" t="s">
        <v>11</v>
      </c>
      <c r="E133" s="4">
        <v>3983.85</v>
      </c>
      <c r="F133">
        <v>785</v>
      </c>
      <c r="G133">
        <v>171</v>
      </c>
    </row>
    <row r="134" spans="1:7" ht="14.5" x14ac:dyDescent="0.35">
      <c r="A134" t="s">
        <v>147</v>
      </c>
      <c r="B134" s="3">
        <v>45726</v>
      </c>
      <c r="C134" t="s">
        <v>19</v>
      </c>
      <c r="D134" t="s">
        <v>21</v>
      </c>
      <c r="E134" s="4">
        <v>3390.61</v>
      </c>
      <c r="G134">
        <v>129</v>
      </c>
    </row>
    <row r="135" spans="1:7" ht="14.5" x14ac:dyDescent="0.35">
      <c r="A135" t="s">
        <v>148</v>
      </c>
      <c r="B135" s="3">
        <v>45780</v>
      </c>
      <c r="C135" t="s">
        <v>19</v>
      </c>
      <c r="D135" t="s">
        <v>115</v>
      </c>
      <c r="E135" s="4">
        <v>4386.0600000000004</v>
      </c>
      <c r="F135">
        <v>363</v>
      </c>
      <c r="G135">
        <v>71</v>
      </c>
    </row>
    <row r="136" spans="1:7" ht="14.5" x14ac:dyDescent="0.35">
      <c r="A136" t="s">
        <v>149</v>
      </c>
      <c r="B136" s="3">
        <v>45726</v>
      </c>
      <c r="C136" t="s">
        <v>15</v>
      </c>
      <c r="D136" t="s">
        <v>35</v>
      </c>
      <c r="E136" s="4">
        <v>1162.7</v>
      </c>
      <c r="F136">
        <v>264</v>
      </c>
      <c r="G136">
        <v>51</v>
      </c>
    </row>
    <row r="137" spans="1:7" ht="14.5" x14ac:dyDescent="0.35">
      <c r="A137" t="s">
        <v>150</v>
      </c>
      <c r="B137" s="3">
        <v>45690</v>
      </c>
      <c r="C137" t="s">
        <v>76</v>
      </c>
      <c r="D137" t="s">
        <v>21</v>
      </c>
      <c r="E137" s="4">
        <v>4794.5</v>
      </c>
      <c r="F137">
        <v>1097</v>
      </c>
      <c r="G137">
        <v>164</v>
      </c>
    </row>
    <row r="138" spans="1:7" ht="14.5" x14ac:dyDescent="0.35">
      <c r="A138" t="s">
        <v>151</v>
      </c>
      <c r="B138" s="3">
        <v>45797</v>
      </c>
      <c r="C138" t="s">
        <v>10</v>
      </c>
      <c r="D138" t="s">
        <v>11</v>
      </c>
      <c r="E138" s="4">
        <v>1957.41</v>
      </c>
      <c r="G138">
        <v>112</v>
      </c>
    </row>
    <row r="139" spans="1:7" ht="14.5" x14ac:dyDescent="0.35">
      <c r="A139" t="s">
        <v>152</v>
      </c>
      <c r="B139" s="3">
        <v>45934</v>
      </c>
      <c r="C139" t="s">
        <v>19</v>
      </c>
      <c r="D139" t="s">
        <v>14</v>
      </c>
      <c r="E139" s="4">
        <v>3515.62</v>
      </c>
      <c r="F139">
        <v>462</v>
      </c>
      <c r="G139">
        <v>110</v>
      </c>
    </row>
    <row r="140" spans="1:7" ht="14.5" x14ac:dyDescent="0.35">
      <c r="A140" t="s">
        <v>153</v>
      </c>
      <c r="B140" s="3">
        <v>45767</v>
      </c>
      <c r="C140" t="s">
        <v>15</v>
      </c>
      <c r="D140" t="s">
        <v>17</v>
      </c>
      <c r="E140" s="4">
        <v>3004.61</v>
      </c>
      <c r="F140">
        <v>469</v>
      </c>
      <c r="G140">
        <v>62</v>
      </c>
    </row>
    <row r="141" spans="1:7" ht="14.5" x14ac:dyDescent="0.35">
      <c r="A141" t="s">
        <v>154</v>
      </c>
      <c r="B141" s="3">
        <v>45989</v>
      </c>
      <c r="C141" t="s">
        <v>24</v>
      </c>
      <c r="E141" s="4">
        <v>4745.3500000000004</v>
      </c>
      <c r="F141">
        <v>589</v>
      </c>
      <c r="G141">
        <v>129</v>
      </c>
    </row>
    <row r="142" spans="1:7" ht="14.5" x14ac:dyDescent="0.35">
      <c r="A142" t="s">
        <v>155</v>
      </c>
      <c r="B142" s="3">
        <v>46134</v>
      </c>
      <c r="C142" t="s">
        <v>24</v>
      </c>
      <c r="D142" t="s">
        <v>17</v>
      </c>
      <c r="E142" s="4">
        <v>4019.24</v>
      </c>
      <c r="F142">
        <v>352</v>
      </c>
    </row>
    <row r="143" spans="1:7" ht="14.5" x14ac:dyDescent="0.35">
      <c r="A143" t="s">
        <v>156</v>
      </c>
      <c r="B143" s="3">
        <v>45679</v>
      </c>
      <c r="C143" t="s">
        <v>24</v>
      </c>
      <c r="D143" t="s">
        <v>11</v>
      </c>
      <c r="E143" s="4">
        <v>604.73</v>
      </c>
      <c r="F143">
        <v>124</v>
      </c>
      <c r="G143">
        <v>21</v>
      </c>
    </row>
    <row r="144" spans="1:7" ht="14.5" x14ac:dyDescent="0.35">
      <c r="B144" s="3">
        <v>46143</v>
      </c>
      <c r="C144" t="s">
        <v>10</v>
      </c>
      <c r="D144" t="s">
        <v>11</v>
      </c>
      <c r="E144" s="4">
        <v>4255.3599999999997</v>
      </c>
      <c r="F144">
        <v>958</v>
      </c>
      <c r="G144" t="s">
        <v>33</v>
      </c>
    </row>
    <row r="145" spans="1:7" ht="14.5" x14ac:dyDescent="0.35">
      <c r="A145" t="s">
        <v>157</v>
      </c>
      <c r="B145" s="3">
        <v>45871</v>
      </c>
      <c r="C145" t="s">
        <v>24</v>
      </c>
      <c r="D145" t="s">
        <v>14</v>
      </c>
      <c r="E145" s="4">
        <v>1204.6600000000001</v>
      </c>
      <c r="G145">
        <v>59</v>
      </c>
    </row>
    <row r="146" spans="1:7" ht="14.5" x14ac:dyDescent="0.35">
      <c r="A146" t="s">
        <v>158</v>
      </c>
      <c r="B146" s="3">
        <v>45938</v>
      </c>
      <c r="C146" t="s">
        <v>15</v>
      </c>
      <c r="D146" t="s">
        <v>17</v>
      </c>
      <c r="E146" s="4">
        <v>606.14</v>
      </c>
      <c r="F146">
        <v>61</v>
      </c>
    </row>
    <row r="147" spans="1:7" ht="14.5" x14ac:dyDescent="0.35">
      <c r="A147" t="s">
        <v>159</v>
      </c>
      <c r="B147" s="3">
        <v>46209</v>
      </c>
      <c r="C147" t="s">
        <v>15</v>
      </c>
      <c r="D147" t="s">
        <v>11</v>
      </c>
      <c r="E147" s="4">
        <v>2072.73</v>
      </c>
      <c r="F147">
        <v>291</v>
      </c>
      <c r="G147">
        <v>53</v>
      </c>
    </row>
    <row r="148" spans="1:7" ht="14.5" x14ac:dyDescent="0.35">
      <c r="A148" t="s">
        <v>160</v>
      </c>
      <c r="B148" s="3">
        <v>45914</v>
      </c>
      <c r="C148" t="s">
        <v>19</v>
      </c>
      <c r="D148" t="s">
        <v>43</v>
      </c>
      <c r="E148" s="4">
        <v>2168.23</v>
      </c>
      <c r="F148">
        <v>302</v>
      </c>
      <c r="G148">
        <v>35</v>
      </c>
    </row>
    <row r="149" spans="1:7" ht="14.5" x14ac:dyDescent="0.35">
      <c r="A149" t="s">
        <v>161</v>
      </c>
      <c r="B149" s="3">
        <v>45864</v>
      </c>
      <c r="C149" t="s">
        <v>10</v>
      </c>
      <c r="D149" t="s">
        <v>35</v>
      </c>
      <c r="E149" s="4">
        <v>4432.42</v>
      </c>
      <c r="F149">
        <v>953</v>
      </c>
      <c r="G149">
        <v>211</v>
      </c>
    </row>
    <row r="150" spans="1:7" ht="14.5" x14ac:dyDescent="0.35">
      <c r="A150" t="s">
        <v>162</v>
      </c>
      <c r="B150" s="3">
        <v>45883</v>
      </c>
      <c r="C150" t="s">
        <v>10</v>
      </c>
      <c r="D150" t="s">
        <v>11</v>
      </c>
      <c r="E150" s="4"/>
      <c r="F150">
        <v>901</v>
      </c>
      <c r="G150">
        <v>198</v>
      </c>
    </row>
    <row r="151" spans="1:7" ht="14.5" x14ac:dyDescent="0.35">
      <c r="A151" t="s">
        <v>163</v>
      </c>
      <c r="B151" s="3">
        <v>46027</v>
      </c>
      <c r="C151" t="s">
        <v>10</v>
      </c>
      <c r="D151" t="s">
        <v>17</v>
      </c>
      <c r="E151" s="4">
        <v>2656.25</v>
      </c>
      <c r="F151">
        <v>484</v>
      </c>
      <c r="G151">
        <v>131</v>
      </c>
    </row>
    <row r="152" spans="1:7" ht="14.5" x14ac:dyDescent="0.35">
      <c r="A152" t="s">
        <v>164</v>
      </c>
      <c r="B152" s="3">
        <v>46226</v>
      </c>
      <c r="C152" t="s">
        <v>76</v>
      </c>
      <c r="D152" t="s">
        <v>17</v>
      </c>
      <c r="E152" s="4">
        <v>4681.12</v>
      </c>
      <c r="F152">
        <v>461</v>
      </c>
      <c r="G152">
        <v>43</v>
      </c>
    </row>
    <row r="153" spans="1:7" ht="14.5" x14ac:dyDescent="0.35">
      <c r="A153" t="s">
        <v>165</v>
      </c>
      <c r="B153" s="3">
        <v>46022</v>
      </c>
      <c r="C153" t="s">
        <v>76</v>
      </c>
      <c r="D153" t="s">
        <v>17</v>
      </c>
      <c r="E153" s="4">
        <v>1436.63</v>
      </c>
      <c r="F153">
        <v>325</v>
      </c>
    </row>
    <row r="154" spans="1:7" ht="14.5" x14ac:dyDescent="0.35">
      <c r="A154" t="s">
        <v>166</v>
      </c>
      <c r="B154" s="3">
        <v>45680</v>
      </c>
      <c r="C154" t="s">
        <v>10</v>
      </c>
      <c r="D154" t="s">
        <v>35</v>
      </c>
      <c r="E154" s="4">
        <v>4866.42</v>
      </c>
      <c r="F154">
        <v>484</v>
      </c>
      <c r="G154">
        <v>130</v>
      </c>
    </row>
    <row r="155" spans="1:7" ht="14.5" x14ac:dyDescent="0.35">
      <c r="A155" t="s">
        <v>167</v>
      </c>
      <c r="B155" s="3">
        <v>46088</v>
      </c>
      <c r="C155" t="s">
        <v>10</v>
      </c>
      <c r="D155" t="s">
        <v>43</v>
      </c>
      <c r="E155" s="4">
        <v>1750.35</v>
      </c>
      <c r="F155">
        <v>310</v>
      </c>
      <c r="G155">
        <v>82</v>
      </c>
    </row>
    <row r="156" spans="1:7" ht="14.5" x14ac:dyDescent="0.35">
      <c r="A156" t="s">
        <v>168</v>
      </c>
      <c r="B156" s="3">
        <v>45726</v>
      </c>
      <c r="D156" t="s">
        <v>14</v>
      </c>
      <c r="E156" s="4">
        <v>4171.16</v>
      </c>
      <c r="F156">
        <v>800</v>
      </c>
      <c r="G156">
        <v>160</v>
      </c>
    </row>
    <row r="157" spans="1:7" ht="14.5" x14ac:dyDescent="0.35">
      <c r="A157" t="s">
        <v>169</v>
      </c>
      <c r="B157" s="3">
        <v>45989</v>
      </c>
      <c r="C157" t="s">
        <v>15</v>
      </c>
      <c r="D157" t="s">
        <v>11</v>
      </c>
      <c r="E157" s="4"/>
      <c r="F157">
        <v>757</v>
      </c>
      <c r="G157">
        <v>84</v>
      </c>
    </row>
    <row r="158" spans="1:7" ht="14.5" x14ac:dyDescent="0.35">
      <c r="A158" t="s">
        <v>170</v>
      </c>
      <c r="B158" s="3">
        <v>46195</v>
      </c>
      <c r="C158" t="s">
        <v>10</v>
      </c>
      <c r="D158" t="s">
        <v>21</v>
      </c>
      <c r="E158" s="4">
        <v>3586.84</v>
      </c>
      <c r="F158">
        <v>484</v>
      </c>
      <c r="G158">
        <v>119</v>
      </c>
    </row>
    <row r="159" spans="1:7" ht="14.5" x14ac:dyDescent="0.35">
      <c r="A159" t="s">
        <v>171</v>
      </c>
      <c r="B159" s="3">
        <v>45758</v>
      </c>
      <c r="D159" t="s">
        <v>11</v>
      </c>
      <c r="E159" s="4">
        <v>3209.43</v>
      </c>
      <c r="F159">
        <v>588</v>
      </c>
      <c r="G159">
        <v>135</v>
      </c>
    </row>
    <row r="160" spans="1:7" ht="14.5" x14ac:dyDescent="0.35">
      <c r="A160" t="s">
        <v>172</v>
      </c>
      <c r="B160" s="3">
        <v>46037</v>
      </c>
      <c r="C160" t="s">
        <v>10</v>
      </c>
      <c r="D160" t="s">
        <v>43</v>
      </c>
      <c r="E160" s="4">
        <v>3566.31</v>
      </c>
      <c r="G160">
        <v>112</v>
      </c>
    </row>
    <row r="161" spans="1:7" ht="14.5" x14ac:dyDescent="0.35">
      <c r="A161" t="s">
        <v>173</v>
      </c>
      <c r="B161" s="3"/>
      <c r="C161" t="s">
        <v>10</v>
      </c>
      <c r="D161" t="s">
        <v>43</v>
      </c>
      <c r="E161" s="4">
        <v>1846.32</v>
      </c>
      <c r="F161">
        <v>335</v>
      </c>
      <c r="G161">
        <v>74</v>
      </c>
    </row>
    <row r="162" spans="1:7" ht="14.5" x14ac:dyDescent="0.35">
      <c r="A162" t="s">
        <v>174</v>
      </c>
      <c r="B162" s="3">
        <v>45915</v>
      </c>
      <c r="C162" t="s">
        <v>76</v>
      </c>
      <c r="D162" t="s">
        <v>11</v>
      </c>
      <c r="E162" s="4">
        <v>-9</v>
      </c>
      <c r="F162">
        <v>728</v>
      </c>
      <c r="G162">
        <v>36</v>
      </c>
    </row>
    <row r="163" spans="1:7" ht="14.5" x14ac:dyDescent="0.35">
      <c r="A163" t="s">
        <v>175</v>
      </c>
      <c r="B163" s="3">
        <v>46161</v>
      </c>
      <c r="C163" t="s">
        <v>15</v>
      </c>
      <c r="D163" t="s">
        <v>21</v>
      </c>
      <c r="E163" s="4">
        <v>2468.4899999999998</v>
      </c>
      <c r="F163">
        <v>507</v>
      </c>
      <c r="G163">
        <v>47</v>
      </c>
    </row>
    <row r="164" spans="1:7" ht="14.5" x14ac:dyDescent="0.35">
      <c r="A164" t="s">
        <v>176</v>
      </c>
      <c r="B164" s="3">
        <v>46105</v>
      </c>
      <c r="C164" t="s">
        <v>76</v>
      </c>
      <c r="D164" t="s">
        <v>35</v>
      </c>
      <c r="E164" s="4">
        <v>4251.95</v>
      </c>
      <c r="G164">
        <v>32</v>
      </c>
    </row>
    <row r="165" spans="1:7" ht="14.5" x14ac:dyDescent="0.35">
      <c r="A165" t="s">
        <v>177</v>
      </c>
      <c r="B165" s="3"/>
      <c r="C165" t="s">
        <v>24</v>
      </c>
      <c r="D165" t="s">
        <v>17</v>
      </c>
      <c r="E165" s="4">
        <v>1351.61</v>
      </c>
      <c r="F165">
        <v>295</v>
      </c>
      <c r="G165">
        <v>66</v>
      </c>
    </row>
    <row r="166" spans="1:7" ht="14.5" x14ac:dyDescent="0.35">
      <c r="A166" t="s">
        <v>178</v>
      </c>
      <c r="B166" s="3">
        <v>45818</v>
      </c>
      <c r="C166" t="s">
        <v>15</v>
      </c>
      <c r="D166" t="s">
        <v>43</v>
      </c>
      <c r="E166" s="4">
        <v>2984.14</v>
      </c>
      <c r="F166">
        <v>517</v>
      </c>
      <c r="G166">
        <v>110</v>
      </c>
    </row>
    <row r="167" spans="1:7" ht="14.5" x14ac:dyDescent="0.35">
      <c r="A167" t="s">
        <v>179</v>
      </c>
      <c r="B167" s="3">
        <v>45972</v>
      </c>
      <c r="C167" t="s">
        <v>19</v>
      </c>
      <c r="D167" t="s">
        <v>43</v>
      </c>
      <c r="E167" s="4">
        <v>895.61</v>
      </c>
      <c r="G167">
        <v>41</v>
      </c>
    </row>
    <row r="168" spans="1:7" ht="14.5" x14ac:dyDescent="0.35">
      <c r="A168" t="s">
        <v>180</v>
      </c>
      <c r="B168" s="3">
        <v>45745</v>
      </c>
      <c r="C168" t="s">
        <v>24</v>
      </c>
      <c r="D168" t="s">
        <v>11</v>
      </c>
      <c r="E168" s="4">
        <v>3589.39</v>
      </c>
      <c r="F168">
        <v>740</v>
      </c>
      <c r="G168">
        <v>168</v>
      </c>
    </row>
    <row r="169" spans="1:7" ht="14.5" x14ac:dyDescent="0.35">
      <c r="A169" t="s">
        <v>181</v>
      </c>
      <c r="B169" s="3">
        <v>45995</v>
      </c>
      <c r="C169" t="s">
        <v>24</v>
      </c>
      <c r="D169" t="s">
        <v>11</v>
      </c>
      <c r="E169" s="4">
        <v>3437.29</v>
      </c>
      <c r="F169">
        <v>525</v>
      </c>
      <c r="G169">
        <v>158</v>
      </c>
    </row>
    <row r="170" spans="1:7" ht="14.5" x14ac:dyDescent="0.35">
      <c r="A170" t="s">
        <v>182</v>
      </c>
      <c r="B170" s="3">
        <v>46107</v>
      </c>
      <c r="C170" t="s">
        <v>76</v>
      </c>
      <c r="D170" t="s">
        <v>11</v>
      </c>
      <c r="E170" s="4">
        <v>2604.7199999999998</v>
      </c>
      <c r="F170">
        <v>214</v>
      </c>
    </row>
    <row r="171" spans="1:7" ht="14.5" x14ac:dyDescent="0.35">
      <c r="A171" t="s">
        <v>183</v>
      </c>
      <c r="B171" s="3">
        <v>46045</v>
      </c>
      <c r="C171" t="s">
        <v>15</v>
      </c>
      <c r="D171" t="s">
        <v>11</v>
      </c>
      <c r="E171" s="4">
        <v>2106.4499999999998</v>
      </c>
      <c r="F171">
        <v>520</v>
      </c>
      <c r="G171">
        <v>85</v>
      </c>
    </row>
    <row r="172" spans="1:7" ht="14.5" x14ac:dyDescent="0.35">
      <c r="A172" t="s">
        <v>184</v>
      </c>
      <c r="B172" s="3">
        <v>46109</v>
      </c>
      <c r="D172" t="s">
        <v>17</v>
      </c>
      <c r="E172" s="4">
        <v>3757.81</v>
      </c>
      <c r="F172">
        <v>399</v>
      </c>
      <c r="G172">
        <v>52</v>
      </c>
    </row>
    <row r="173" spans="1:7" ht="14.5" x14ac:dyDescent="0.35">
      <c r="A173" t="s">
        <v>185</v>
      </c>
      <c r="B173" s="3">
        <v>45766</v>
      </c>
      <c r="C173" t="s">
        <v>19</v>
      </c>
      <c r="D173" t="s">
        <v>17</v>
      </c>
      <c r="E173" s="4">
        <v>758.47</v>
      </c>
      <c r="F173">
        <v>150</v>
      </c>
      <c r="G173">
        <v>33</v>
      </c>
    </row>
    <row r="174" spans="1:7" ht="14.5" x14ac:dyDescent="0.35">
      <c r="A174" t="s">
        <v>186</v>
      </c>
      <c r="B174" s="3">
        <v>45701</v>
      </c>
      <c r="C174" t="s">
        <v>10</v>
      </c>
      <c r="D174" t="s">
        <v>17</v>
      </c>
      <c r="E174" s="4">
        <v>3453.41</v>
      </c>
      <c r="F174">
        <v>860</v>
      </c>
      <c r="G174">
        <v>230</v>
      </c>
    </row>
    <row r="175" spans="1:7" ht="14.5" x14ac:dyDescent="0.35">
      <c r="A175" t="s">
        <v>187</v>
      </c>
      <c r="B175" s="3">
        <v>45785</v>
      </c>
      <c r="D175" t="s">
        <v>188</v>
      </c>
      <c r="E175" s="4">
        <v>3113.76</v>
      </c>
      <c r="F175">
        <v>646</v>
      </c>
      <c r="G175">
        <v>184</v>
      </c>
    </row>
    <row r="176" spans="1:7" ht="14.5" x14ac:dyDescent="0.35">
      <c r="A176" t="s">
        <v>189</v>
      </c>
      <c r="B176" s="3">
        <v>45747</v>
      </c>
      <c r="C176" t="s">
        <v>76</v>
      </c>
      <c r="D176" t="s">
        <v>17</v>
      </c>
      <c r="E176" s="4">
        <v>2706.78</v>
      </c>
      <c r="F176">
        <v>224</v>
      </c>
      <c r="G176">
        <v>30</v>
      </c>
    </row>
    <row r="177" spans="1:7" ht="14.5" x14ac:dyDescent="0.35">
      <c r="A177" t="s">
        <v>190</v>
      </c>
      <c r="B177" s="3">
        <v>45845</v>
      </c>
      <c r="C177" t="s">
        <v>33</v>
      </c>
      <c r="D177" t="s">
        <v>11</v>
      </c>
      <c r="E177" s="4">
        <v>2406.87</v>
      </c>
      <c r="F177">
        <v>496</v>
      </c>
      <c r="G177">
        <v>96</v>
      </c>
    </row>
    <row r="178" spans="1:7" ht="14.5" x14ac:dyDescent="0.35">
      <c r="A178" t="s">
        <v>191</v>
      </c>
      <c r="B178" s="3">
        <v>46034</v>
      </c>
      <c r="D178" t="s">
        <v>17</v>
      </c>
      <c r="E178" s="4">
        <v>2269.65</v>
      </c>
      <c r="F178">
        <v>233</v>
      </c>
      <c r="G178">
        <v>23</v>
      </c>
    </row>
    <row r="179" spans="1:7" ht="14.5" x14ac:dyDescent="0.35">
      <c r="A179" t="s">
        <v>192</v>
      </c>
      <c r="B179" s="3">
        <v>45883</v>
      </c>
      <c r="C179" t="s">
        <v>15</v>
      </c>
      <c r="D179" t="s">
        <v>17</v>
      </c>
      <c r="E179" s="4">
        <v>1957.35</v>
      </c>
      <c r="F179">
        <v>435</v>
      </c>
      <c r="G179">
        <v>49</v>
      </c>
    </row>
    <row r="180" spans="1:7" ht="14.5" x14ac:dyDescent="0.35">
      <c r="A180" t="s">
        <v>193</v>
      </c>
      <c r="B180" s="3">
        <v>46005</v>
      </c>
      <c r="C180" t="s">
        <v>15</v>
      </c>
      <c r="D180" t="s">
        <v>17</v>
      </c>
      <c r="E180" s="4">
        <v>4875.24</v>
      </c>
      <c r="F180">
        <v>1160</v>
      </c>
      <c r="G180">
        <v>174</v>
      </c>
    </row>
    <row r="181" spans="1:7" ht="14.5" x14ac:dyDescent="0.35">
      <c r="A181" t="s">
        <v>194</v>
      </c>
      <c r="B181" s="3">
        <v>46028</v>
      </c>
      <c r="D181" t="s">
        <v>43</v>
      </c>
      <c r="E181" s="4">
        <v>1839.96</v>
      </c>
      <c r="F181">
        <v>417</v>
      </c>
      <c r="G181">
        <v>1009</v>
      </c>
    </row>
    <row r="182" spans="1:7" ht="14.5" x14ac:dyDescent="0.35">
      <c r="A182" t="s">
        <v>195</v>
      </c>
      <c r="B182" s="3">
        <v>45685</v>
      </c>
      <c r="C182" t="s">
        <v>10</v>
      </c>
      <c r="D182" t="s">
        <v>14</v>
      </c>
      <c r="E182" s="4">
        <v>4324.55</v>
      </c>
      <c r="F182">
        <v>801</v>
      </c>
      <c r="G182">
        <v>155</v>
      </c>
    </row>
    <row r="183" spans="1:7" ht="14.5" x14ac:dyDescent="0.35">
      <c r="A183" t="s">
        <v>196</v>
      </c>
      <c r="B183" s="3">
        <v>45955</v>
      </c>
      <c r="C183" t="s">
        <v>15</v>
      </c>
      <c r="D183" t="s">
        <v>17</v>
      </c>
      <c r="E183" s="4">
        <v>2066.77</v>
      </c>
      <c r="F183">
        <v>191</v>
      </c>
      <c r="G183">
        <v>15</v>
      </c>
    </row>
    <row r="184" spans="1:7" ht="14.5" x14ac:dyDescent="0.35">
      <c r="A184" t="s">
        <v>197</v>
      </c>
      <c r="B184" s="3">
        <v>46103</v>
      </c>
      <c r="C184" t="s">
        <v>24</v>
      </c>
      <c r="D184" t="s">
        <v>11</v>
      </c>
      <c r="E184" s="4">
        <v>4671.55</v>
      </c>
      <c r="F184">
        <v>447</v>
      </c>
      <c r="G184">
        <v>104</v>
      </c>
    </row>
    <row r="185" spans="1:7" ht="14.5" x14ac:dyDescent="0.35">
      <c r="A185" t="s">
        <v>198</v>
      </c>
      <c r="B185" s="3">
        <v>46147</v>
      </c>
      <c r="C185" t="s">
        <v>15</v>
      </c>
      <c r="D185" t="s">
        <v>14</v>
      </c>
      <c r="E185" s="4">
        <v>1554.65</v>
      </c>
      <c r="F185">
        <v>330</v>
      </c>
    </row>
    <row r="186" spans="1:7" ht="14.5" x14ac:dyDescent="0.35">
      <c r="A186" t="s">
        <v>199</v>
      </c>
      <c r="B186" s="3">
        <v>45961</v>
      </c>
      <c r="C186" t="s">
        <v>10</v>
      </c>
      <c r="D186" t="s">
        <v>11</v>
      </c>
      <c r="E186" s="4">
        <v>1486.86</v>
      </c>
      <c r="F186">
        <v>163</v>
      </c>
      <c r="G186">
        <v>44</v>
      </c>
    </row>
    <row r="187" spans="1:7" ht="14.5" x14ac:dyDescent="0.35">
      <c r="A187" t="s">
        <v>200</v>
      </c>
      <c r="B187" s="3">
        <v>46149</v>
      </c>
      <c r="C187" t="s">
        <v>10</v>
      </c>
      <c r="D187" t="s">
        <v>11</v>
      </c>
      <c r="E187" s="4">
        <v>4162.01</v>
      </c>
      <c r="F187">
        <v>572</v>
      </c>
      <c r="G187">
        <v>103</v>
      </c>
    </row>
    <row r="188" spans="1:7" ht="14.5" x14ac:dyDescent="0.35">
      <c r="A188" t="s">
        <v>201</v>
      </c>
      <c r="B188" s="3">
        <v>45869</v>
      </c>
      <c r="C188" t="s">
        <v>19</v>
      </c>
      <c r="D188" t="s">
        <v>11</v>
      </c>
      <c r="E188" s="4">
        <v>4816.16</v>
      </c>
      <c r="F188">
        <v>1036</v>
      </c>
      <c r="G188">
        <v>207</v>
      </c>
    </row>
    <row r="189" spans="1:7" ht="14.5" x14ac:dyDescent="0.35">
      <c r="A189" t="s">
        <v>202</v>
      </c>
      <c r="B189" s="3">
        <v>45709</v>
      </c>
      <c r="C189" t="s">
        <v>10</v>
      </c>
      <c r="D189" t="s">
        <v>11</v>
      </c>
      <c r="E189" s="4"/>
      <c r="F189">
        <v>520</v>
      </c>
      <c r="G189">
        <v>147</v>
      </c>
    </row>
    <row r="190" spans="1:7" ht="14.5" x14ac:dyDescent="0.35">
      <c r="B190" s="3">
        <v>45904</v>
      </c>
      <c r="C190" t="s">
        <v>10</v>
      </c>
      <c r="D190" t="s">
        <v>17</v>
      </c>
      <c r="E190" s="4">
        <v>3197.3</v>
      </c>
      <c r="F190">
        <v>300</v>
      </c>
      <c r="G190">
        <v>78</v>
      </c>
    </row>
    <row r="191" spans="1:7" ht="14.5" x14ac:dyDescent="0.35">
      <c r="A191" t="s">
        <v>203</v>
      </c>
      <c r="B191" s="3">
        <v>46124</v>
      </c>
      <c r="C191" t="s">
        <v>10</v>
      </c>
      <c r="D191" t="s">
        <v>43</v>
      </c>
      <c r="E191" s="4"/>
      <c r="F191">
        <v>750</v>
      </c>
      <c r="G191">
        <v>183</v>
      </c>
    </row>
    <row r="192" spans="1:7" ht="14.5" x14ac:dyDescent="0.35">
      <c r="B192" s="3">
        <v>46118</v>
      </c>
      <c r="C192" t="s">
        <v>15</v>
      </c>
      <c r="D192" t="s">
        <v>11</v>
      </c>
      <c r="E192" s="4">
        <v>4360.6899999999996</v>
      </c>
      <c r="F192">
        <v>883</v>
      </c>
      <c r="G192">
        <v>151</v>
      </c>
    </row>
    <row r="193" spans="1:7" ht="14.5" x14ac:dyDescent="0.35">
      <c r="A193" t="s">
        <v>204</v>
      </c>
      <c r="B193" s="3">
        <v>46075</v>
      </c>
      <c r="C193" t="s">
        <v>10</v>
      </c>
      <c r="D193" t="s">
        <v>11</v>
      </c>
      <c r="E193" s="4">
        <v>509.05</v>
      </c>
      <c r="G193">
        <v>15</v>
      </c>
    </row>
    <row r="194" spans="1:7" ht="14.5" x14ac:dyDescent="0.35">
      <c r="A194" t="s">
        <v>205</v>
      </c>
      <c r="B194" s="3">
        <v>45856</v>
      </c>
      <c r="C194" t="s">
        <v>76</v>
      </c>
      <c r="D194" t="s">
        <v>21</v>
      </c>
      <c r="E194" s="4">
        <v>3099.62</v>
      </c>
      <c r="F194">
        <v>260</v>
      </c>
      <c r="G194">
        <v>24</v>
      </c>
    </row>
    <row r="195" spans="1:7" ht="14.5" x14ac:dyDescent="0.35">
      <c r="A195" t="s">
        <v>206</v>
      </c>
      <c r="B195" s="3">
        <v>46046</v>
      </c>
      <c r="C195" t="s">
        <v>10</v>
      </c>
      <c r="D195" t="s">
        <v>14</v>
      </c>
      <c r="E195" s="4">
        <v>1406.28</v>
      </c>
      <c r="F195">
        <v>308</v>
      </c>
      <c r="G195">
        <v>84</v>
      </c>
    </row>
    <row r="196" spans="1:7" ht="14.5" x14ac:dyDescent="0.35">
      <c r="A196" t="s">
        <v>207</v>
      </c>
      <c r="B196" s="3">
        <v>46165</v>
      </c>
      <c r="C196" t="s">
        <v>15</v>
      </c>
      <c r="D196" t="s">
        <v>43</v>
      </c>
      <c r="E196" s="4">
        <v>3075.69</v>
      </c>
      <c r="F196">
        <v>253</v>
      </c>
      <c r="G196">
        <v>49</v>
      </c>
    </row>
    <row r="197" spans="1:7" ht="14.5" x14ac:dyDescent="0.35">
      <c r="A197" t="s">
        <v>208</v>
      </c>
      <c r="B197" s="3"/>
      <c r="C197" t="s">
        <v>76</v>
      </c>
      <c r="D197" t="s">
        <v>11</v>
      </c>
      <c r="E197" s="4">
        <v>1058.8800000000001</v>
      </c>
      <c r="F197">
        <v>160</v>
      </c>
      <c r="G197">
        <v>10</v>
      </c>
    </row>
    <row r="198" spans="1:7" ht="14.5" x14ac:dyDescent="0.35">
      <c r="A198" t="s">
        <v>209</v>
      </c>
      <c r="B198" s="3">
        <v>45694</v>
      </c>
      <c r="C198" t="s">
        <v>76</v>
      </c>
      <c r="D198" t="s">
        <v>11</v>
      </c>
      <c r="E198" s="4">
        <v>1708.14</v>
      </c>
      <c r="F198">
        <v>384</v>
      </c>
      <c r="G198">
        <v>30</v>
      </c>
    </row>
    <row r="199" spans="1:7" ht="14.5" x14ac:dyDescent="0.35">
      <c r="A199" t="s">
        <v>210</v>
      </c>
      <c r="B199" s="3">
        <v>46066</v>
      </c>
      <c r="C199" t="s">
        <v>10</v>
      </c>
      <c r="D199" t="s">
        <v>14</v>
      </c>
      <c r="E199" s="4">
        <v>3360.35</v>
      </c>
      <c r="F199">
        <v>731</v>
      </c>
      <c r="G199">
        <v>210</v>
      </c>
    </row>
    <row r="200" spans="1:7" ht="14.5" x14ac:dyDescent="0.35">
      <c r="A200" t="s">
        <v>211</v>
      </c>
      <c r="B200" s="3">
        <v>46132</v>
      </c>
      <c r="C200" t="s">
        <v>15</v>
      </c>
      <c r="D200" t="s">
        <v>17</v>
      </c>
      <c r="E200" s="4">
        <v>4637.84</v>
      </c>
      <c r="F200">
        <v>586</v>
      </c>
      <c r="G200">
        <v>67</v>
      </c>
    </row>
    <row r="201" spans="1:7" ht="14.5" x14ac:dyDescent="0.35">
      <c r="A201" t="s">
        <v>212</v>
      </c>
      <c r="B201" s="3">
        <v>46225</v>
      </c>
      <c r="C201" t="s">
        <v>15</v>
      </c>
      <c r="D201" t="s">
        <v>17</v>
      </c>
      <c r="E201" s="4"/>
      <c r="F201">
        <v>756</v>
      </c>
      <c r="G201">
        <v>94</v>
      </c>
    </row>
    <row r="202" spans="1:7" ht="14.5" x14ac:dyDescent="0.35">
      <c r="A202" t="s">
        <v>213</v>
      </c>
      <c r="B202" s="3">
        <v>46101</v>
      </c>
      <c r="C202" t="s">
        <v>15</v>
      </c>
      <c r="D202" t="s">
        <v>17</v>
      </c>
      <c r="E202" s="4">
        <v>564.82000000000005</v>
      </c>
      <c r="F202">
        <v>92</v>
      </c>
      <c r="G202">
        <v>16</v>
      </c>
    </row>
    <row r="203" spans="1:7" ht="14.5" x14ac:dyDescent="0.35">
      <c r="A203" t="s">
        <v>214</v>
      </c>
      <c r="B203" s="3">
        <v>46050</v>
      </c>
      <c r="C203" t="s">
        <v>19</v>
      </c>
      <c r="D203" t="s">
        <v>21</v>
      </c>
      <c r="E203" s="4">
        <v>4084.51</v>
      </c>
      <c r="F203">
        <v>978</v>
      </c>
      <c r="G203">
        <v>175</v>
      </c>
    </row>
    <row r="204" spans="1:7" ht="14.5" x14ac:dyDescent="0.35">
      <c r="A204" t="s">
        <v>215</v>
      </c>
      <c r="B204" s="3">
        <v>45926</v>
      </c>
      <c r="D204" t="s">
        <v>17</v>
      </c>
      <c r="E204" s="4">
        <v>2963.92</v>
      </c>
      <c r="F204">
        <v>728</v>
      </c>
      <c r="G204">
        <v>109</v>
      </c>
    </row>
    <row r="205" spans="1:7" ht="14.5" x14ac:dyDescent="0.35">
      <c r="A205" t="s">
        <v>216</v>
      </c>
      <c r="B205" s="3">
        <v>45987</v>
      </c>
      <c r="C205" t="s">
        <v>19</v>
      </c>
      <c r="D205" t="s">
        <v>14</v>
      </c>
      <c r="E205" s="4">
        <v>4031.15</v>
      </c>
      <c r="F205">
        <v>324</v>
      </c>
    </row>
    <row r="206" spans="1:7" ht="14.5" x14ac:dyDescent="0.35">
      <c r="A206" t="s">
        <v>217</v>
      </c>
      <c r="B206" s="3"/>
      <c r="C206" t="s">
        <v>15</v>
      </c>
      <c r="D206" t="s">
        <v>14</v>
      </c>
      <c r="E206" s="4">
        <v>2638.6</v>
      </c>
      <c r="F206">
        <v>350</v>
      </c>
      <c r="G206">
        <v>52</v>
      </c>
    </row>
    <row r="207" spans="1:7" ht="14.5" x14ac:dyDescent="0.35">
      <c r="A207" t="s">
        <v>218</v>
      </c>
      <c r="B207" s="3">
        <v>45682</v>
      </c>
      <c r="C207" t="s">
        <v>76</v>
      </c>
      <c r="D207" t="s">
        <v>11</v>
      </c>
      <c r="E207" s="4">
        <v>3839.36</v>
      </c>
      <c r="F207">
        <v>676</v>
      </c>
      <c r="G207">
        <v>32</v>
      </c>
    </row>
    <row r="208" spans="1:7" ht="14.5" x14ac:dyDescent="0.35">
      <c r="A208" t="s">
        <v>219</v>
      </c>
      <c r="B208" s="3">
        <v>45709</v>
      </c>
      <c r="C208" t="s">
        <v>15</v>
      </c>
      <c r="D208" t="s">
        <v>11</v>
      </c>
      <c r="E208" s="4">
        <v>419.97</v>
      </c>
      <c r="F208">
        <v>46</v>
      </c>
      <c r="G208">
        <v>6</v>
      </c>
    </row>
    <row r="209" spans="1:7" ht="14.5" x14ac:dyDescent="0.35">
      <c r="A209" t="s">
        <v>220</v>
      </c>
      <c r="B209" s="3">
        <v>45660</v>
      </c>
      <c r="C209" t="s">
        <v>15</v>
      </c>
      <c r="D209" t="s">
        <v>11</v>
      </c>
      <c r="E209" s="4">
        <v>2033.78</v>
      </c>
      <c r="F209">
        <v>454</v>
      </c>
      <c r="G209">
        <v>63</v>
      </c>
    </row>
    <row r="210" spans="1:7" ht="14.5" x14ac:dyDescent="0.35">
      <c r="A210" t="s">
        <v>221</v>
      </c>
      <c r="B210" s="3">
        <v>45830</v>
      </c>
      <c r="C210" t="s">
        <v>19</v>
      </c>
      <c r="D210" t="s">
        <v>17</v>
      </c>
      <c r="E210" s="4">
        <v>2615.8200000000002</v>
      </c>
      <c r="F210">
        <v>529</v>
      </c>
      <c r="G210">
        <v>102</v>
      </c>
    </row>
    <row r="211" spans="1:7" ht="14.5" x14ac:dyDescent="0.35">
      <c r="A211" t="s">
        <v>222</v>
      </c>
      <c r="B211" s="3">
        <v>46218</v>
      </c>
      <c r="C211" t="s">
        <v>10</v>
      </c>
      <c r="D211" t="s">
        <v>21</v>
      </c>
      <c r="E211" s="4">
        <v>4146.0600000000004</v>
      </c>
      <c r="F211">
        <v>668</v>
      </c>
      <c r="G211">
        <v>192</v>
      </c>
    </row>
    <row r="212" spans="1:7" ht="14.5" x14ac:dyDescent="0.35">
      <c r="A212" t="s">
        <v>223</v>
      </c>
      <c r="B212" s="3">
        <v>45797</v>
      </c>
      <c r="C212" t="s">
        <v>19</v>
      </c>
      <c r="D212" t="s">
        <v>35</v>
      </c>
      <c r="E212" s="4"/>
      <c r="F212">
        <v>64</v>
      </c>
      <c r="G212">
        <v>12</v>
      </c>
    </row>
    <row r="213" spans="1:7" ht="14.5" x14ac:dyDescent="0.35">
      <c r="A213" t="s">
        <v>224</v>
      </c>
      <c r="B213" s="3">
        <v>46157</v>
      </c>
      <c r="C213" t="s">
        <v>15</v>
      </c>
      <c r="D213" t="s">
        <v>70</v>
      </c>
      <c r="E213" s="4">
        <v>3851.93</v>
      </c>
      <c r="F213">
        <v>472</v>
      </c>
      <c r="G213">
        <v>37</v>
      </c>
    </row>
    <row r="214" spans="1:7" ht="14.5" x14ac:dyDescent="0.35">
      <c r="B214" s="3">
        <v>46043</v>
      </c>
      <c r="C214" t="s">
        <v>10</v>
      </c>
      <c r="D214" t="s">
        <v>43</v>
      </c>
      <c r="E214" s="4">
        <v>2903.71</v>
      </c>
      <c r="F214">
        <v>352</v>
      </c>
      <c r="G214">
        <v>114</v>
      </c>
    </row>
    <row r="215" spans="1:7" ht="14.5" x14ac:dyDescent="0.35">
      <c r="A215" t="s">
        <v>225</v>
      </c>
      <c r="B215" s="3">
        <v>46154</v>
      </c>
      <c r="C215" t="s">
        <v>10</v>
      </c>
      <c r="D215" t="s">
        <v>14</v>
      </c>
      <c r="E215" s="4"/>
      <c r="F215">
        <v>501</v>
      </c>
      <c r="G215">
        <v>140</v>
      </c>
    </row>
    <row r="216" spans="1:7" ht="14.5" x14ac:dyDescent="0.35">
      <c r="A216" t="s">
        <v>226</v>
      </c>
      <c r="B216" s="3">
        <v>45838</v>
      </c>
      <c r="C216" t="s">
        <v>19</v>
      </c>
      <c r="D216" t="s">
        <v>11</v>
      </c>
      <c r="E216" s="4">
        <v>4645.7299999999996</v>
      </c>
      <c r="F216">
        <v>402</v>
      </c>
      <c r="G216">
        <v>96</v>
      </c>
    </row>
    <row r="217" spans="1:7" ht="14.5" x14ac:dyDescent="0.35">
      <c r="A217" t="s">
        <v>227</v>
      </c>
      <c r="B217" s="3">
        <v>46207</v>
      </c>
      <c r="C217" t="s">
        <v>15</v>
      </c>
      <c r="D217" t="s">
        <v>11</v>
      </c>
      <c r="E217" s="4">
        <v>3317.64</v>
      </c>
      <c r="F217">
        <v>470</v>
      </c>
      <c r="G217">
        <v>42</v>
      </c>
    </row>
    <row r="218" spans="1:7" ht="14.5" x14ac:dyDescent="0.35">
      <c r="A218" t="s">
        <v>221</v>
      </c>
      <c r="B218" s="3">
        <v>45830</v>
      </c>
      <c r="C218" t="s">
        <v>19</v>
      </c>
      <c r="D218" t="s">
        <v>17</v>
      </c>
      <c r="E218" s="4">
        <v>2615.8200000000002</v>
      </c>
      <c r="F218">
        <v>529</v>
      </c>
      <c r="G218">
        <v>102</v>
      </c>
    </row>
    <row r="219" spans="1:7" ht="14.5" x14ac:dyDescent="0.35">
      <c r="A219" t="s">
        <v>228</v>
      </c>
      <c r="B219" s="3">
        <v>45725</v>
      </c>
      <c r="C219" t="s">
        <v>10</v>
      </c>
      <c r="D219" t="s">
        <v>17</v>
      </c>
      <c r="E219" s="4">
        <v>1789.2</v>
      </c>
      <c r="F219">
        <v>221</v>
      </c>
    </row>
    <row r="220" spans="1:7" ht="14.5" x14ac:dyDescent="0.35">
      <c r="A220" t="s">
        <v>229</v>
      </c>
      <c r="B220" s="3">
        <v>46059</v>
      </c>
      <c r="C220" t="s">
        <v>10</v>
      </c>
      <c r="D220" t="s">
        <v>21</v>
      </c>
      <c r="E220" s="4">
        <v>2206.5300000000002</v>
      </c>
      <c r="F220">
        <v>239</v>
      </c>
      <c r="G220">
        <v>52</v>
      </c>
    </row>
    <row r="221" spans="1:7" ht="14.5" x14ac:dyDescent="0.35">
      <c r="A221" t="s">
        <v>230</v>
      </c>
      <c r="B221" s="3">
        <v>45780</v>
      </c>
      <c r="C221" t="s">
        <v>10</v>
      </c>
      <c r="D221" t="s">
        <v>17</v>
      </c>
      <c r="E221" s="4">
        <v>2558.88</v>
      </c>
      <c r="F221">
        <v>239</v>
      </c>
      <c r="G221">
        <v>64</v>
      </c>
    </row>
    <row r="222" spans="1:7" ht="14.5" x14ac:dyDescent="0.35">
      <c r="A222" t="s">
        <v>231</v>
      </c>
      <c r="B222" s="3"/>
      <c r="C222" t="s">
        <v>10</v>
      </c>
      <c r="D222" t="s">
        <v>14</v>
      </c>
      <c r="E222" s="4">
        <v>285.8</v>
      </c>
      <c r="F222">
        <v>69</v>
      </c>
      <c r="G222">
        <v>16</v>
      </c>
    </row>
    <row r="223" spans="1:7" ht="14.5" x14ac:dyDescent="0.35">
      <c r="A223" t="s">
        <v>232</v>
      </c>
      <c r="B223" s="3">
        <v>45941</v>
      </c>
      <c r="C223" t="s">
        <v>76</v>
      </c>
      <c r="D223" t="s">
        <v>21</v>
      </c>
      <c r="E223" s="4">
        <v>4400.18</v>
      </c>
      <c r="F223">
        <v>973</v>
      </c>
      <c r="G223">
        <v>59</v>
      </c>
    </row>
    <row r="224" spans="1:7" ht="14.5" x14ac:dyDescent="0.35">
      <c r="A224" t="s">
        <v>233</v>
      </c>
      <c r="B224" s="3">
        <v>45830</v>
      </c>
      <c r="C224" t="s">
        <v>10</v>
      </c>
      <c r="D224" t="s">
        <v>21</v>
      </c>
      <c r="E224" s="4">
        <v>405.35</v>
      </c>
      <c r="F224">
        <v>51</v>
      </c>
      <c r="G224">
        <v>12</v>
      </c>
    </row>
    <row r="225" spans="1:7" ht="14.5" x14ac:dyDescent="0.35">
      <c r="A225" t="s">
        <v>234</v>
      </c>
      <c r="B225" s="3">
        <v>45986</v>
      </c>
      <c r="C225" t="s">
        <v>76</v>
      </c>
      <c r="D225" t="s">
        <v>17</v>
      </c>
      <c r="E225" s="4">
        <v>2575.3200000000002</v>
      </c>
      <c r="F225">
        <v>228</v>
      </c>
      <c r="G225">
        <v>28</v>
      </c>
    </row>
    <row r="226" spans="1:7" ht="14.5" x14ac:dyDescent="0.35">
      <c r="A226" t="s">
        <v>235</v>
      </c>
      <c r="B226" s="3">
        <v>45912</v>
      </c>
      <c r="C226" t="s">
        <v>10</v>
      </c>
      <c r="D226" t="s">
        <v>11</v>
      </c>
      <c r="E226" s="4">
        <v>4144.67</v>
      </c>
      <c r="G226">
        <v>185</v>
      </c>
    </row>
    <row r="227" spans="1:7" ht="14.5" x14ac:dyDescent="0.35">
      <c r="B227" s="3">
        <v>45985</v>
      </c>
      <c r="C227" t="s">
        <v>10</v>
      </c>
      <c r="D227" t="s">
        <v>17</v>
      </c>
      <c r="E227" s="4">
        <v>1564.78</v>
      </c>
      <c r="F227">
        <v>365</v>
      </c>
      <c r="G227">
        <v>105</v>
      </c>
    </row>
    <row r="228" spans="1:7" ht="14.5" x14ac:dyDescent="0.35">
      <c r="A228" t="s">
        <v>236</v>
      </c>
      <c r="B228" s="3">
        <v>46215</v>
      </c>
      <c r="C228" t="s">
        <v>76</v>
      </c>
      <c r="D228" t="s">
        <v>11</v>
      </c>
      <c r="E228" s="4">
        <v>3332.51</v>
      </c>
      <c r="F228">
        <v>781</v>
      </c>
      <c r="G228">
        <v>107</v>
      </c>
    </row>
    <row r="229" spans="1:7" ht="14.5" x14ac:dyDescent="0.35">
      <c r="A229" t="s">
        <v>237</v>
      </c>
      <c r="B229" s="3">
        <v>45692</v>
      </c>
      <c r="C229" t="s">
        <v>10</v>
      </c>
      <c r="D229" t="s">
        <v>14</v>
      </c>
      <c r="E229" s="4">
        <v>3849.68</v>
      </c>
      <c r="F229">
        <v>650</v>
      </c>
      <c r="G229">
        <v>159</v>
      </c>
    </row>
    <row r="230" spans="1:7" ht="14.5" x14ac:dyDescent="0.35">
      <c r="A230" t="s">
        <v>238</v>
      </c>
      <c r="B230" s="3">
        <v>45777</v>
      </c>
      <c r="C230" t="s">
        <v>10</v>
      </c>
      <c r="D230" t="s">
        <v>43</v>
      </c>
      <c r="E230" s="4">
        <v>1025.83</v>
      </c>
      <c r="F230">
        <v>98</v>
      </c>
      <c r="G230">
        <v>26</v>
      </c>
    </row>
    <row r="231" spans="1:7" ht="14.5" x14ac:dyDescent="0.35">
      <c r="A231" t="s">
        <v>239</v>
      </c>
      <c r="B231" s="3">
        <v>45836</v>
      </c>
      <c r="C231" t="s">
        <v>24</v>
      </c>
      <c r="D231" t="s">
        <v>17</v>
      </c>
      <c r="E231" s="4">
        <v>2097.84</v>
      </c>
      <c r="F231">
        <v>308</v>
      </c>
      <c r="G231">
        <v>81</v>
      </c>
    </row>
    <row r="232" spans="1:7" ht="14.5" x14ac:dyDescent="0.35">
      <c r="A232" t="s">
        <v>236</v>
      </c>
      <c r="B232" s="3">
        <v>46215</v>
      </c>
      <c r="C232" t="s">
        <v>76</v>
      </c>
      <c r="D232" t="s">
        <v>11</v>
      </c>
      <c r="E232" s="4">
        <v>3332.51</v>
      </c>
      <c r="F232">
        <v>781</v>
      </c>
      <c r="G232">
        <v>107</v>
      </c>
    </row>
    <row r="233" spans="1:7" ht="14.5" x14ac:dyDescent="0.35">
      <c r="A233" t="s">
        <v>240</v>
      </c>
      <c r="B233" s="3">
        <v>46205</v>
      </c>
      <c r="C233" t="s">
        <v>24</v>
      </c>
      <c r="D233" t="s">
        <v>11</v>
      </c>
      <c r="E233" s="4">
        <v>614.20000000000005</v>
      </c>
      <c r="G233">
        <v>24</v>
      </c>
    </row>
    <row r="234" spans="1:7" ht="14.5" x14ac:dyDescent="0.35">
      <c r="A234" t="s">
        <v>241</v>
      </c>
      <c r="B234" s="3">
        <v>45923</v>
      </c>
      <c r="C234" t="s">
        <v>10</v>
      </c>
      <c r="D234" t="s">
        <v>11</v>
      </c>
      <c r="E234" s="4">
        <v>260.11</v>
      </c>
      <c r="F234">
        <v>48</v>
      </c>
      <c r="G234" t="s">
        <v>242</v>
      </c>
    </row>
    <row r="235" spans="1:7" ht="14.5" x14ac:dyDescent="0.35">
      <c r="A235" t="s">
        <v>243</v>
      </c>
      <c r="B235" s="3">
        <v>46203</v>
      </c>
      <c r="C235" t="s">
        <v>15</v>
      </c>
      <c r="D235" t="s">
        <v>14</v>
      </c>
      <c r="E235" s="4">
        <v>4747.93</v>
      </c>
      <c r="F235">
        <v>1026</v>
      </c>
      <c r="G235">
        <v>112</v>
      </c>
    </row>
    <row r="236" spans="1:7" ht="14.5" x14ac:dyDescent="0.35">
      <c r="A236" t="s">
        <v>244</v>
      </c>
      <c r="B236" s="3">
        <v>46020</v>
      </c>
      <c r="C236" t="s">
        <v>76</v>
      </c>
      <c r="D236" t="s">
        <v>11</v>
      </c>
      <c r="E236" s="4">
        <v>4762.8900000000003</v>
      </c>
      <c r="F236">
        <v>976</v>
      </c>
      <c r="G236">
        <v>131</v>
      </c>
    </row>
    <row r="237" spans="1:7" ht="14.5" x14ac:dyDescent="0.35">
      <c r="A237" t="s">
        <v>245</v>
      </c>
      <c r="B237" s="3">
        <v>46113</v>
      </c>
      <c r="C237" t="s">
        <v>10</v>
      </c>
      <c r="D237" t="s">
        <v>11</v>
      </c>
      <c r="E237" s="4">
        <v>2584.02</v>
      </c>
      <c r="F237">
        <v>362</v>
      </c>
      <c r="G237">
        <v>97</v>
      </c>
    </row>
    <row r="238" spans="1:7" ht="14.5" x14ac:dyDescent="0.35">
      <c r="A238" t="s">
        <v>246</v>
      </c>
      <c r="B238" s="3">
        <v>46112</v>
      </c>
      <c r="C238" t="s">
        <v>24</v>
      </c>
      <c r="D238" t="s">
        <v>43</v>
      </c>
      <c r="E238" s="4">
        <v>4009.21</v>
      </c>
      <c r="F238">
        <v>513</v>
      </c>
      <c r="G238">
        <v>143</v>
      </c>
    </row>
    <row r="239" spans="1:7" ht="14.5" x14ac:dyDescent="0.35">
      <c r="A239" t="s">
        <v>247</v>
      </c>
      <c r="B239" s="3">
        <v>46209</v>
      </c>
      <c r="C239" t="s">
        <v>76</v>
      </c>
      <c r="E239" s="4">
        <v>1877.5</v>
      </c>
      <c r="F239">
        <v>306</v>
      </c>
      <c r="G239">
        <v>41</v>
      </c>
    </row>
    <row r="240" spans="1:7" ht="14.5" x14ac:dyDescent="0.35">
      <c r="A240" t="s">
        <v>93</v>
      </c>
      <c r="B240" s="3">
        <v>45878</v>
      </c>
      <c r="C240" t="s">
        <v>76</v>
      </c>
      <c r="D240" t="s">
        <v>14</v>
      </c>
      <c r="E240" s="4">
        <v>1584.15</v>
      </c>
      <c r="F240">
        <v>220</v>
      </c>
      <c r="G240">
        <v>32</v>
      </c>
    </row>
    <row r="241" spans="1:7" ht="14.5" x14ac:dyDescent="0.35">
      <c r="A241" t="s">
        <v>248</v>
      </c>
      <c r="B241" s="3">
        <v>45939</v>
      </c>
      <c r="C241" t="s">
        <v>10</v>
      </c>
      <c r="D241" t="s">
        <v>17</v>
      </c>
      <c r="E241" s="4">
        <v>1442.63</v>
      </c>
      <c r="G241">
        <v>52</v>
      </c>
    </row>
    <row r="242" spans="1:7" ht="14.5" x14ac:dyDescent="0.35">
      <c r="A242" t="s">
        <v>249</v>
      </c>
      <c r="B242" s="3">
        <v>45988</v>
      </c>
      <c r="C242" t="s">
        <v>15</v>
      </c>
      <c r="D242" t="s">
        <v>33</v>
      </c>
      <c r="E242" s="4">
        <v>3928.3</v>
      </c>
      <c r="F242">
        <v>951</v>
      </c>
      <c r="G242">
        <v>145</v>
      </c>
    </row>
    <row r="243" spans="1:7" ht="14.5" x14ac:dyDescent="0.35">
      <c r="A243" t="s">
        <v>250</v>
      </c>
      <c r="B243" s="3">
        <v>46144</v>
      </c>
      <c r="C243" t="s">
        <v>19</v>
      </c>
      <c r="D243" t="s">
        <v>17</v>
      </c>
      <c r="E243" s="4">
        <v>348.31</v>
      </c>
      <c r="F243">
        <v>34</v>
      </c>
      <c r="G243">
        <v>7</v>
      </c>
    </row>
    <row r="244" spans="1:7" ht="14.5" x14ac:dyDescent="0.35">
      <c r="A244" t="s">
        <v>74</v>
      </c>
      <c r="B244" s="3">
        <v>45818</v>
      </c>
      <c r="C244" t="s">
        <v>10</v>
      </c>
      <c r="D244" t="s">
        <v>43</v>
      </c>
      <c r="E244" s="4">
        <v>3832.39</v>
      </c>
      <c r="F244">
        <v>350</v>
      </c>
      <c r="G244">
        <v>100</v>
      </c>
    </row>
    <row r="245" spans="1:7" ht="14.5" x14ac:dyDescent="0.35">
      <c r="A245" t="s">
        <v>251</v>
      </c>
      <c r="B245" s="3">
        <v>46115</v>
      </c>
      <c r="C245" t="s">
        <v>24</v>
      </c>
      <c r="D245" t="s">
        <v>17</v>
      </c>
      <c r="E245" s="4">
        <v>4826.55</v>
      </c>
      <c r="F245">
        <v>1104</v>
      </c>
      <c r="G245">
        <v>238</v>
      </c>
    </row>
    <row r="246" spans="1:7" ht="14.5" x14ac:dyDescent="0.35">
      <c r="A246" t="s">
        <v>252</v>
      </c>
      <c r="B246" s="3">
        <v>46105</v>
      </c>
      <c r="C246" t="s">
        <v>24</v>
      </c>
      <c r="D246" t="s">
        <v>43</v>
      </c>
      <c r="E246" s="4">
        <v>753.03</v>
      </c>
      <c r="F246">
        <v>100</v>
      </c>
      <c r="G246">
        <v>28</v>
      </c>
    </row>
    <row r="247" spans="1:7" ht="14.5" x14ac:dyDescent="0.35">
      <c r="A247" t="s">
        <v>253</v>
      </c>
      <c r="B247" s="3">
        <v>45910</v>
      </c>
      <c r="C247" t="s">
        <v>19</v>
      </c>
      <c r="D247" t="s">
        <v>11</v>
      </c>
      <c r="E247" s="4">
        <v>4334.1899999999996</v>
      </c>
      <c r="F247">
        <v>584</v>
      </c>
    </row>
    <row r="248" spans="1:7" ht="14.5" x14ac:dyDescent="0.35">
      <c r="A248" t="s">
        <v>254</v>
      </c>
      <c r="B248" s="3">
        <v>45959</v>
      </c>
      <c r="C248" t="s">
        <v>10</v>
      </c>
      <c r="D248" t="s">
        <v>35</v>
      </c>
      <c r="E248" s="4">
        <v>4216.49</v>
      </c>
      <c r="F248">
        <v>1050</v>
      </c>
      <c r="G248">
        <v>265</v>
      </c>
    </row>
    <row r="249" spans="1:7" ht="14.5" x14ac:dyDescent="0.35">
      <c r="A249" t="s">
        <v>255</v>
      </c>
      <c r="B249" s="3">
        <v>45807</v>
      </c>
      <c r="C249" t="s">
        <v>10</v>
      </c>
      <c r="D249" t="s">
        <v>11</v>
      </c>
      <c r="E249" s="4">
        <v>2326.2600000000002</v>
      </c>
      <c r="F249">
        <v>516</v>
      </c>
      <c r="G249">
        <v>144</v>
      </c>
    </row>
    <row r="250" spans="1:7" ht="14.5" x14ac:dyDescent="0.35">
      <c r="A250" t="s">
        <v>256</v>
      </c>
      <c r="B250" s="3">
        <v>45785</v>
      </c>
      <c r="C250" t="s">
        <v>19</v>
      </c>
      <c r="E250" s="4">
        <v>301.43</v>
      </c>
      <c r="F250">
        <v>43</v>
      </c>
      <c r="G250">
        <v>8</v>
      </c>
    </row>
    <row r="251" spans="1:7" ht="14.5" x14ac:dyDescent="0.35">
      <c r="A251" t="s">
        <v>257</v>
      </c>
      <c r="B251" s="3">
        <v>45709</v>
      </c>
      <c r="C251" t="s">
        <v>76</v>
      </c>
      <c r="D251" t="s">
        <v>14</v>
      </c>
      <c r="E251" s="4">
        <v>4745.71</v>
      </c>
      <c r="F251">
        <v>825</v>
      </c>
      <c r="G251">
        <v>114</v>
      </c>
    </row>
    <row r="252" spans="1:7" ht="14.5" x14ac:dyDescent="0.35">
      <c r="A252" t="s">
        <v>258</v>
      </c>
      <c r="B252" s="3">
        <v>46070</v>
      </c>
      <c r="C252" t="s">
        <v>15</v>
      </c>
      <c r="D252" t="s">
        <v>11</v>
      </c>
      <c r="E252" s="4">
        <v>1644.74</v>
      </c>
      <c r="F252">
        <v>381</v>
      </c>
      <c r="G252">
        <v>46</v>
      </c>
    </row>
    <row r="253" spans="1:7" ht="14.5" x14ac:dyDescent="0.35">
      <c r="A253" t="s">
        <v>259</v>
      </c>
      <c r="B253" s="3">
        <v>46176</v>
      </c>
      <c r="C253" t="s">
        <v>24</v>
      </c>
      <c r="E253" s="4">
        <v>1125.1600000000001</v>
      </c>
      <c r="F253">
        <v>131</v>
      </c>
      <c r="G253">
        <v>25</v>
      </c>
    </row>
    <row r="254" spans="1:7" ht="14.5" x14ac:dyDescent="0.35">
      <c r="A254" t="s">
        <v>260</v>
      </c>
      <c r="B254" s="3">
        <v>46011</v>
      </c>
      <c r="C254" t="s">
        <v>15</v>
      </c>
      <c r="D254" t="s">
        <v>35</v>
      </c>
      <c r="E254" s="4">
        <v>4825.67</v>
      </c>
      <c r="F254">
        <v>468</v>
      </c>
      <c r="G254">
        <v>73</v>
      </c>
    </row>
    <row r="255" spans="1:7" ht="14.5" x14ac:dyDescent="0.35">
      <c r="A255" t="s">
        <v>28</v>
      </c>
      <c r="B255" s="3">
        <v>46144</v>
      </c>
      <c r="C255" t="s">
        <v>10</v>
      </c>
      <c r="D255" t="s">
        <v>21</v>
      </c>
      <c r="E255" s="4">
        <v>2086.02</v>
      </c>
      <c r="F255">
        <v>273</v>
      </c>
      <c r="G255">
        <v>88</v>
      </c>
    </row>
    <row r="256" spans="1:7" ht="14.5" x14ac:dyDescent="0.35">
      <c r="A256" t="s">
        <v>261</v>
      </c>
      <c r="B256" s="3">
        <v>46037</v>
      </c>
      <c r="C256" t="s">
        <v>15</v>
      </c>
      <c r="E256" s="4">
        <v>3047.74</v>
      </c>
      <c r="F256">
        <v>711</v>
      </c>
      <c r="G256">
        <v>153</v>
      </c>
    </row>
    <row r="257" spans="1:7" ht="14.5" x14ac:dyDescent="0.35">
      <c r="A257" t="s">
        <v>262</v>
      </c>
      <c r="B257" s="3">
        <v>46051</v>
      </c>
      <c r="C257" t="s">
        <v>15</v>
      </c>
      <c r="E257" s="4">
        <v>475.03</v>
      </c>
      <c r="F257">
        <v>70</v>
      </c>
      <c r="G257">
        <v>12</v>
      </c>
    </row>
    <row r="258" spans="1:7" ht="14.5" x14ac:dyDescent="0.35">
      <c r="A258" t="s">
        <v>263</v>
      </c>
      <c r="B258" s="3">
        <v>45745</v>
      </c>
      <c r="C258" t="s">
        <v>76</v>
      </c>
      <c r="D258" t="s">
        <v>17</v>
      </c>
      <c r="E258" s="4">
        <v>4021.93</v>
      </c>
      <c r="G258">
        <v>37</v>
      </c>
    </row>
    <row r="259" spans="1:7" ht="14.5" x14ac:dyDescent="0.35">
      <c r="A259" t="s">
        <v>264</v>
      </c>
      <c r="B259" s="3">
        <v>46148</v>
      </c>
      <c r="C259" t="s">
        <v>10</v>
      </c>
      <c r="E259" s="4">
        <v>1235.7</v>
      </c>
      <c r="F259">
        <v>130</v>
      </c>
      <c r="G259">
        <v>26</v>
      </c>
    </row>
    <row r="260" spans="1:7" ht="14.5" x14ac:dyDescent="0.35">
      <c r="B260" s="3">
        <v>45998</v>
      </c>
      <c r="C260" t="s">
        <v>15</v>
      </c>
      <c r="D260" t="s">
        <v>35</v>
      </c>
      <c r="E260" s="4">
        <v>1206.3900000000001</v>
      </c>
      <c r="F260">
        <v>151</v>
      </c>
      <c r="G260">
        <v>7</v>
      </c>
    </row>
    <row r="261" spans="1:7" ht="14.5" x14ac:dyDescent="0.35">
      <c r="A261" t="s">
        <v>265</v>
      </c>
      <c r="B261" s="3"/>
      <c r="C261" t="s">
        <v>76</v>
      </c>
      <c r="D261" t="s">
        <v>11</v>
      </c>
      <c r="E261" s="4">
        <v>4638.09</v>
      </c>
      <c r="F261">
        <v>767</v>
      </c>
      <c r="G261">
        <v>84</v>
      </c>
    </row>
    <row r="262" spans="1:7" ht="14.5" x14ac:dyDescent="0.35">
      <c r="A262" t="s">
        <v>266</v>
      </c>
      <c r="B262" s="3">
        <v>45923</v>
      </c>
      <c r="C262" t="s">
        <v>24</v>
      </c>
      <c r="D262" t="s">
        <v>17</v>
      </c>
      <c r="E262" s="4">
        <v>4926.28</v>
      </c>
      <c r="F262">
        <v>844</v>
      </c>
    </row>
    <row r="263" spans="1:7" ht="14.5" x14ac:dyDescent="0.35">
      <c r="A263" t="s">
        <v>267</v>
      </c>
      <c r="B263" s="3">
        <v>45908</v>
      </c>
      <c r="C263" t="s">
        <v>19</v>
      </c>
      <c r="D263" t="s">
        <v>35</v>
      </c>
      <c r="E263" s="4">
        <v>2610.06</v>
      </c>
      <c r="F263">
        <v>267</v>
      </c>
      <c r="G263">
        <v>51</v>
      </c>
    </row>
    <row r="264" spans="1:7" ht="14.5" x14ac:dyDescent="0.35">
      <c r="A264" t="s">
        <v>268</v>
      </c>
      <c r="B264" s="3">
        <v>45792</v>
      </c>
      <c r="C264" t="s">
        <v>10</v>
      </c>
      <c r="D264" t="s">
        <v>11</v>
      </c>
      <c r="E264" s="4">
        <v>1819.43</v>
      </c>
      <c r="F264">
        <v>361</v>
      </c>
      <c r="G264">
        <v>93</v>
      </c>
    </row>
    <row r="265" spans="1:7" ht="14.5" x14ac:dyDescent="0.35">
      <c r="A265" t="s">
        <v>269</v>
      </c>
      <c r="B265" s="3">
        <v>46013</v>
      </c>
      <c r="C265" t="s">
        <v>15</v>
      </c>
      <c r="D265" t="s">
        <v>35</v>
      </c>
      <c r="E265" s="4">
        <v>3457.13</v>
      </c>
      <c r="F265">
        <v>434</v>
      </c>
      <c r="G265">
        <v>110</v>
      </c>
    </row>
    <row r="266" spans="1:7" ht="14.5" x14ac:dyDescent="0.35">
      <c r="A266" t="s">
        <v>270</v>
      </c>
      <c r="B266" s="3">
        <v>46133</v>
      </c>
      <c r="C266" t="s">
        <v>76</v>
      </c>
      <c r="D266" t="s">
        <v>17</v>
      </c>
      <c r="E266" s="4">
        <v>3465.97</v>
      </c>
      <c r="F266">
        <v>304</v>
      </c>
      <c r="G266">
        <v>35</v>
      </c>
    </row>
    <row r="267" spans="1:7" ht="14.5" x14ac:dyDescent="0.35">
      <c r="A267" t="s">
        <v>271</v>
      </c>
      <c r="B267" s="3">
        <v>46198</v>
      </c>
      <c r="C267" t="s">
        <v>76</v>
      </c>
      <c r="D267" t="s">
        <v>21</v>
      </c>
      <c r="E267" s="4">
        <v>387.93</v>
      </c>
      <c r="F267">
        <v>95</v>
      </c>
    </row>
    <row r="268" spans="1:7" ht="14.5" x14ac:dyDescent="0.35">
      <c r="A268" t="s">
        <v>272</v>
      </c>
      <c r="B268" s="3">
        <v>46089</v>
      </c>
      <c r="C268" t="s">
        <v>76</v>
      </c>
      <c r="D268" t="s">
        <v>17</v>
      </c>
      <c r="E268" s="4"/>
      <c r="F268">
        <v>461</v>
      </c>
      <c r="G268">
        <v>32</v>
      </c>
    </row>
    <row r="269" spans="1:7" ht="14.5" x14ac:dyDescent="0.35">
      <c r="A269" t="s">
        <v>273</v>
      </c>
      <c r="B269" s="3"/>
      <c r="C269" t="s">
        <v>15</v>
      </c>
      <c r="D269" t="s">
        <v>17</v>
      </c>
      <c r="E269" s="4">
        <v>4350.93</v>
      </c>
      <c r="F269">
        <v>402</v>
      </c>
      <c r="G269">
        <v>71</v>
      </c>
    </row>
    <row r="270" spans="1:7" ht="14.5" x14ac:dyDescent="0.35">
      <c r="A270" t="s">
        <v>274</v>
      </c>
      <c r="B270" s="3">
        <v>46112</v>
      </c>
      <c r="C270" t="s">
        <v>10</v>
      </c>
      <c r="D270" t="s">
        <v>35</v>
      </c>
      <c r="E270" s="4">
        <v>4054.96</v>
      </c>
      <c r="F270">
        <v>628</v>
      </c>
      <c r="G270">
        <v>132</v>
      </c>
    </row>
    <row r="271" spans="1:7" ht="14.5" x14ac:dyDescent="0.35">
      <c r="A271" t="s">
        <v>275</v>
      </c>
      <c r="B271" s="3">
        <v>45935</v>
      </c>
      <c r="C271" t="s">
        <v>15</v>
      </c>
      <c r="D271" t="s">
        <v>17</v>
      </c>
      <c r="E271" s="4">
        <v>1073.1400000000001</v>
      </c>
      <c r="F271">
        <v>245</v>
      </c>
      <c r="G271">
        <v>45</v>
      </c>
    </row>
    <row r="272" spans="1:7" ht="14.5" x14ac:dyDescent="0.35">
      <c r="A272" t="s">
        <v>276</v>
      </c>
      <c r="B272" s="3">
        <v>45844</v>
      </c>
      <c r="C272" t="s">
        <v>15</v>
      </c>
      <c r="D272" t="s">
        <v>14</v>
      </c>
      <c r="E272" s="4">
        <v>4476.0600000000004</v>
      </c>
      <c r="F272">
        <v>464</v>
      </c>
      <c r="G272">
        <v>69</v>
      </c>
    </row>
    <row r="273" spans="1:7" ht="14.5" x14ac:dyDescent="0.35">
      <c r="A273" t="s">
        <v>277</v>
      </c>
      <c r="B273" s="3">
        <v>45974</v>
      </c>
      <c r="C273" t="s">
        <v>15</v>
      </c>
      <c r="D273" t="s">
        <v>43</v>
      </c>
      <c r="E273" s="4">
        <v>1387.4</v>
      </c>
      <c r="F273">
        <v>215</v>
      </c>
      <c r="G273">
        <v>24</v>
      </c>
    </row>
    <row r="274" spans="1:7" ht="14.5" x14ac:dyDescent="0.35">
      <c r="A274" t="s">
        <v>278</v>
      </c>
      <c r="B274" s="3">
        <v>46052</v>
      </c>
      <c r="C274" t="s">
        <v>76</v>
      </c>
      <c r="D274" t="s">
        <v>11</v>
      </c>
      <c r="E274" s="4">
        <v>4953.63</v>
      </c>
      <c r="F274">
        <v>768</v>
      </c>
      <c r="G274">
        <v>163</v>
      </c>
    </row>
    <row r="275" spans="1:7" ht="14.5" x14ac:dyDescent="0.35">
      <c r="B275" s="3" t="s">
        <v>33</v>
      </c>
      <c r="C275" t="s">
        <v>15</v>
      </c>
      <c r="D275" t="s">
        <v>17</v>
      </c>
      <c r="E275" s="4">
        <v>500.84</v>
      </c>
      <c r="F275">
        <v>88</v>
      </c>
      <c r="G275">
        <v>19</v>
      </c>
    </row>
    <row r="276" spans="1:7" ht="14.5" x14ac:dyDescent="0.35">
      <c r="A276" t="s">
        <v>279</v>
      </c>
      <c r="B276" s="3">
        <v>45744</v>
      </c>
      <c r="C276" t="s">
        <v>15</v>
      </c>
      <c r="D276" t="s">
        <v>11</v>
      </c>
      <c r="E276" s="4">
        <v>2766.4</v>
      </c>
      <c r="F276">
        <v>595</v>
      </c>
      <c r="G276">
        <v>62</v>
      </c>
    </row>
    <row r="277" spans="1:7" ht="14.5" x14ac:dyDescent="0.35">
      <c r="A277" t="s">
        <v>280</v>
      </c>
      <c r="B277" s="3">
        <v>46227</v>
      </c>
      <c r="C277" t="s">
        <v>19</v>
      </c>
      <c r="D277" t="s">
        <v>21</v>
      </c>
      <c r="E277" s="4">
        <v>3691.38</v>
      </c>
      <c r="F277">
        <v>458</v>
      </c>
    </row>
    <row r="278" spans="1:7" ht="14.5" x14ac:dyDescent="0.35">
      <c r="A278" t="s">
        <v>281</v>
      </c>
      <c r="B278" s="3">
        <v>45854</v>
      </c>
      <c r="C278" t="s">
        <v>10</v>
      </c>
      <c r="D278" t="s">
        <v>17</v>
      </c>
      <c r="E278" s="4">
        <v>4771.6099999999997</v>
      </c>
      <c r="F278">
        <v>587</v>
      </c>
      <c r="G278">
        <v>146</v>
      </c>
    </row>
    <row r="279" spans="1:7" ht="14.5" x14ac:dyDescent="0.35">
      <c r="A279" t="s">
        <v>88</v>
      </c>
      <c r="B279" s="3">
        <v>45728</v>
      </c>
      <c r="C279" t="s">
        <v>76</v>
      </c>
      <c r="D279" t="s">
        <v>14</v>
      </c>
      <c r="E279" s="4">
        <v>1656.74</v>
      </c>
      <c r="F279">
        <v>182</v>
      </c>
      <c r="G279">
        <v>12</v>
      </c>
    </row>
    <row r="280" spans="1:7" ht="14.5" x14ac:dyDescent="0.35">
      <c r="A280" t="s">
        <v>282</v>
      </c>
      <c r="B280" s="3">
        <v>46103</v>
      </c>
      <c r="C280" t="s">
        <v>15</v>
      </c>
      <c r="D280" t="s">
        <v>11</v>
      </c>
      <c r="E280" s="4">
        <v>3580.32</v>
      </c>
      <c r="F280">
        <v>327</v>
      </c>
      <c r="G280">
        <v>53</v>
      </c>
    </row>
    <row r="281" spans="1:7" ht="14.5" x14ac:dyDescent="0.35">
      <c r="A281" t="s">
        <v>283</v>
      </c>
      <c r="B281" s="3">
        <v>46176</v>
      </c>
      <c r="C281" t="s">
        <v>10</v>
      </c>
      <c r="D281" t="s">
        <v>11</v>
      </c>
      <c r="E281" s="4">
        <v>2221.84</v>
      </c>
      <c r="F281">
        <v>426</v>
      </c>
      <c r="G281">
        <v>108</v>
      </c>
    </row>
    <row r="282" spans="1:7" ht="14.5" x14ac:dyDescent="0.35">
      <c r="A282" t="s">
        <v>284</v>
      </c>
      <c r="B282" s="3">
        <v>46051</v>
      </c>
      <c r="C282" t="s">
        <v>15</v>
      </c>
      <c r="D282" t="s">
        <v>11</v>
      </c>
      <c r="E282" s="4">
        <v>3374.99</v>
      </c>
      <c r="F282">
        <v>583</v>
      </c>
      <c r="G282">
        <v>103</v>
      </c>
    </row>
    <row r="283" spans="1:7" ht="14.5" x14ac:dyDescent="0.35">
      <c r="A283" t="s">
        <v>285</v>
      </c>
      <c r="B283" s="3"/>
      <c r="C283" t="s">
        <v>15</v>
      </c>
      <c r="D283" t="s">
        <v>14</v>
      </c>
      <c r="E283" s="4">
        <v>401.73</v>
      </c>
      <c r="F283">
        <v>87</v>
      </c>
      <c r="G283">
        <v>10</v>
      </c>
    </row>
    <row r="284" spans="1:7" ht="14.5" x14ac:dyDescent="0.35">
      <c r="A284" t="s">
        <v>286</v>
      </c>
      <c r="B284" s="3">
        <v>46217</v>
      </c>
      <c r="C284" t="s">
        <v>10</v>
      </c>
      <c r="D284" t="s">
        <v>43</v>
      </c>
      <c r="E284" s="4">
        <v>4178.66</v>
      </c>
      <c r="F284">
        <v>776</v>
      </c>
      <c r="G284">
        <v>206</v>
      </c>
    </row>
    <row r="285" spans="1:7" ht="14.5" x14ac:dyDescent="0.35">
      <c r="A285" t="s">
        <v>287</v>
      </c>
      <c r="B285" s="3">
        <v>45876</v>
      </c>
      <c r="C285" t="s">
        <v>24</v>
      </c>
      <c r="D285" t="s">
        <v>35</v>
      </c>
      <c r="E285" s="4">
        <v>3217.76</v>
      </c>
      <c r="F285">
        <v>498</v>
      </c>
      <c r="G285">
        <v>120</v>
      </c>
    </row>
    <row r="286" spans="1:7" ht="14.5" x14ac:dyDescent="0.35">
      <c r="B286" s="3">
        <v>46158</v>
      </c>
      <c r="C286" t="s">
        <v>15</v>
      </c>
      <c r="D286" t="s">
        <v>11</v>
      </c>
      <c r="E286" s="4">
        <v>295.8</v>
      </c>
      <c r="F286">
        <v>67</v>
      </c>
      <c r="G286">
        <v>7</v>
      </c>
    </row>
    <row r="287" spans="1:7" ht="14.5" x14ac:dyDescent="0.35">
      <c r="A287" t="s">
        <v>186</v>
      </c>
      <c r="B287" s="3">
        <v>45701</v>
      </c>
      <c r="C287" t="s">
        <v>10</v>
      </c>
      <c r="D287" t="s">
        <v>17</v>
      </c>
      <c r="E287" s="4">
        <v>3453.41</v>
      </c>
      <c r="F287">
        <v>860</v>
      </c>
      <c r="G287">
        <v>230</v>
      </c>
    </row>
    <row r="288" spans="1:7" ht="14.5" x14ac:dyDescent="0.35">
      <c r="A288" t="s">
        <v>288</v>
      </c>
      <c r="B288" s="3">
        <v>45738</v>
      </c>
      <c r="C288" t="s">
        <v>15</v>
      </c>
      <c r="D288" t="s">
        <v>11</v>
      </c>
      <c r="E288" s="4">
        <v>2647.13</v>
      </c>
      <c r="F288" t="s">
        <v>242</v>
      </c>
      <c r="G288">
        <v>100</v>
      </c>
    </row>
    <row r="289" spans="1:7" ht="14.5" x14ac:dyDescent="0.35">
      <c r="A289" t="s">
        <v>289</v>
      </c>
      <c r="B289" s="3">
        <v>45767</v>
      </c>
      <c r="C289" t="s">
        <v>19</v>
      </c>
      <c r="D289" t="s">
        <v>21</v>
      </c>
      <c r="E289" s="4">
        <v>3810.3</v>
      </c>
      <c r="F289">
        <v>623</v>
      </c>
      <c r="G289" t="s">
        <v>242</v>
      </c>
    </row>
    <row r="290" spans="1:7" ht="14.5" x14ac:dyDescent="0.35">
      <c r="A290" t="s">
        <v>290</v>
      </c>
      <c r="B290" s="3">
        <v>45692</v>
      </c>
      <c r="C290" t="s">
        <v>10</v>
      </c>
      <c r="D290" t="s">
        <v>11</v>
      </c>
      <c r="E290" s="4">
        <v>4224.63</v>
      </c>
      <c r="F290">
        <v>618</v>
      </c>
      <c r="G290">
        <v>118</v>
      </c>
    </row>
    <row r="291" spans="1:7" ht="14.5" x14ac:dyDescent="0.35">
      <c r="A291" t="s">
        <v>291</v>
      </c>
      <c r="B291" s="3">
        <v>45802</v>
      </c>
      <c r="C291" t="s">
        <v>15</v>
      </c>
      <c r="E291" s="4">
        <v>2109.1799999999998</v>
      </c>
      <c r="F291">
        <v>251</v>
      </c>
      <c r="G291">
        <v>34</v>
      </c>
    </row>
    <row r="292" spans="1:7" ht="14.5" x14ac:dyDescent="0.35">
      <c r="A292" t="s">
        <v>292</v>
      </c>
      <c r="B292" s="3">
        <v>46088</v>
      </c>
      <c r="C292" t="s">
        <v>10</v>
      </c>
      <c r="D292" t="s">
        <v>14</v>
      </c>
      <c r="E292" s="4">
        <v>1119.6500000000001</v>
      </c>
      <c r="F292">
        <v>166</v>
      </c>
      <c r="G292">
        <v>30</v>
      </c>
    </row>
    <row r="293" spans="1:7" ht="14.5" x14ac:dyDescent="0.35">
      <c r="A293" t="s">
        <v>293</v>
      </c>
      <c r="B293" s="3">
        <v>45726</v>
      </c>
      <c r="C293" t="s">
        <v>15</v>
      </c>
      <c r="D293" t="s">
        <v>43</v>
      </c>
      <c r="E293" s="4">
        <v>1486.45</v>
      </c>
      <c r="F293">
        <v>271</v>
      </c>
      <c r="G293">
        <v>53</v>
      </c>
    </row>
    <row r="294" spans="1:7" ht="14.5" x14ac:dyDescent="0.35">
      <c r="A294" t="s">
        <v>294</v>
      </c>
      <c r="B294" s="3">
        <v>46226</v>
      </c>
      <c r="C294" t="s">
        <v>76</v>
      </c>
      <c r="D294" t="s">
        <v>11</v>
      </c>
      <c r="E294" s="4">
        <v>609.80999999999995</v>
      </c>
      <c r="G294">
        <v>4</v>
      </c>
    </row>
    <row r="295" spans="1:7" ht="14.5" x14ac:dyDescent="0.35">
      <c r="A295" t="s">
        <v>295</v>
      </c>
      <c r="B295" s="3">
        <v>45831</v>
      </c>
      <c r="C295" t="s">
        <v>15</v>
      </c>
      <c r="E295" s="4">
        <v>4216.83</v>
      </c>
      <c r="F295">
        <v>508</v>
      </c>
      <c r="G295">
        <v>70</v>
      </c>
    </row>
    <row r="296" spans="1:7" ht="14.5" x14ac:dyDescent="0.35">
      <c r="A296" t="s">
        <v>296</v>
      </c>
      <c r="B296" s="3">
        <v>45865</v>
      </c>
      <c r="C296" t="s">
        <v>10</v>
      </c>
      <c r="D296" t="s">
        <v>43</v>
      </c>
      <c r="E296" s="4">
        <v>3178.53</v>
      </c>
      <c r="F296">
        <v>345</v>
      </c>
      <c r="G296">
        <v>73</v>
      </c>
    </row>
    <row r="297" spans="1:7" ht="14.5" x14ac:dyDescent="0.35">
      <c r="A297" t="s">
        <v>297</v>
      </c>
      <c r="B297" s="3">
        <v>46003</v>
      </c>
      <c r="C297" t="s">
        <v>10</v>
      </c>
      <c r="D297" t="s">
        <v>11</v>
      </c>
      <c r="E297" s="4">
        <v>4635.24</v>
      </c>
      <c r="F297">
        <v>886</v>
      </c>
      <c r="G297">
        <v>199</v>
      </c>
    </row>
    <row r="298" spans="1:7" ht="14.5" x14ac:dyDescent="0.35">
      <c r="A298" t="s">
        <v>298</v>
      </c>
      <c r="B298" s="3">
        <v>46127</v>
      </c>
      <c r="C298" t="s">
        <v>24</v>
      </c>
      <c r="D298" t="s">
        <v>43</v>
      </c>
      <c r="E298" s="4">
        <v>2436.4299999999998</v>
      </c>
      <c r="F298">
        <v>554</v>
      </c>
      <c r="G298">
        <v>141</v>
      </c>
    </row>
    <row r="299" spans="1:7" ht="14.5" x14ac:dyDescent="0.35">
      <c r="A299" t="s">
        <v>299</v>
      </c>
      <c r="B299" s="3">
        <v>45720</v>
      </c>
      <c r="C299" t="s">
        <v>15</v>
      </c>
      <c r="D299" t="s">
        <v>35</v>
      </c>
      <c r="E299" s="4">
        <v>3342.91</v>
      </c>
      <c r="F299">
        <v>599</v>
      </c>
      <c r="G299">
        <v>124</v>
      </c>
    </row>
    <row r="300" spans="1:7" ht="14.5" x14ac:dyDescent="0.35">
      <c r="A300" t="s">
        <v>300</v>
      </c>
      <c r="B300" s="3">
        <v>46007</v>
      </c>
      <c r="C300" t="s">
        <v>15</v>
      </c>
      <c r="D300" t="s">
        <v>11</v>
      </c>
      <c r="E300" s="4">
        <v>2877.39</v>
      </c>
      <c r="F300">
        <v>463</v>
      </c>
    </row>
    <row r="301" spans="1:7" ht="14.5" x14ac:dyDescent="0.35">
      <c r="A301" t="s">
        <v>301</v>
      </c>
      <c r="B301" s="3">
        <v>45727</v>
      </c>
      <c r="C301" t="s">
        <v>76</v>
      </c>
      <c r="D301" t="s">
        <v>43</v>
      </c>
      <c r="E301" s="4">
        <v>3509.09</v>
      </c>
      <c r="F301">
        <v>714</v>
      </c>
      <c r="G301">
        <v>42</v>
      </c>
    </row>
    <row r="302" spans="1:7" ht="14.5" x14ac:dyDescent="0.35">
      <c r="A302" t="s">
        <v>302</v>
      </c>
      <c r="B302" s="3">
        <v>46215</v>
      </c>
      <c r="C302" t="s">
        <v>24</v>
      </c>
      <c r="D302" t="s">
        <v>17</v>
      </c>
      <c r="E302" s="4">
        <v>3794.91</v>
      </c>
      <c r="F302">
        <v>442</v>
      </c>
      <c r="G302">
        <v>77</v>
      </c>
    </row>
    <row r="303" spans="1:7" ht="14.5" x14ac:dyDescent="0.35">
      <c r="A303" t="s">
        <v>303</v>
      </c>
      <c r="B303" s="3">
        <v>45887</v>
      </c>
      <c r="C303" t="s">
        <v>19</v>
      </c>
      <c r="E303" s="4">
        <v>4177.41</v>
      </c>
      <c r="F303">
        <v>427</v>
      </c>
      <c r="G303">
        <v>69</v>
      </c>
    </row>
  </sheetData>
  <mergeCells count="1">
    <mergeCell ref="A1:G1"/>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2"/>
  <sheetViews>
    <sheetView showGridLines="0" zoomScaleNormal="100" workbookViewId="0">
      <pane ySplit="3" topLeftCell="A4" activePane="bottomLeft" state="frozen"/>
      <selection pane="bottomLeft" activeCell="F276" sqref="A4:M296"/>
    </sheetView>
  </sheetViews>
  <sheetFormatPr defaultColWidth="8.6328125" defaultRowHeight="15" customHeight="1" x14ac:dyDescent="0.35"/>
  <cols>
    <col min="1" max="1" width="16" customWidth="1"/>
    <col min="2" max="2" width="15" customWidth="1"/>
    <col min="3" max="3" width="18" customWidth="1"/>
    <col min="4" max="4" width="16" customWidth="1"/>
    <col min="5" max="5" width="14" customWidth="1"/>
    <col min="6" max="6" width="12" customWidth="1"/>
    <col min="7" max="7" width="14" customWidth="1"/>
    <col min="8" max="9" width="10" customWidth="1"/>
    <col min="10" max="10" width="17" customWidth="1"/>
    <col min="11" max="11" width="20" customWidth="1"/>
    <col min="12" max="12" width="17" customWidth="1"/>
    <col min="13" max="13" width="22" customWidth="1"/>
  </cols>
  <sheetData>
    <row r="1" spans="1:16" ht="20" x14ac:dyDescent="0.4">
      <c r="A1" s="45" t="s">
        <v>304</v>
      </c>
      <c r="B1" s="45"/>
      <c r="C1" s="45"/>
      <c r="D1" s="45"/>
      <c r="E1" s="45"/>
      <c r="F1" s="45"/>
      <c r="G1" s="45"/>
      <c r="H1" s="45"/>
      <c r="I1" s="45"/>
      <c r="J1" s="45"/>
      <c r="K1" s="45"/>
      <c r="L1" s="45"/>
      <c r="M1" s="45"/>
      <c r="N1" s="45"/>
      <c r="O1" s="45"/>
      <c r="P1" s="45"/>
    </row>
    <row r="3" spans="1:16" ht="16.5" x14ac:dyDescent="0.35">
      <c r="A3" s="2" t="s">
        <v>2</v>
      </c>
      <c r="B3" s="2" t="s">
        <v>3</v>
      </c>
      <c r="C3" s="2" t="s">
        <v>4</v>
      </c>
      <c r="D3" s="2" t="s">
        <v>5</v>
      </c>
      <c r="E3" s="2" t="s">
        <v>6</v>
      </c>
      <c r="F3" s="2" t="s">
        <v>7</v>
      </c>
      <c r="G3" s="2" t="s">
        <v>8</v>
      </c>
      <c r="H3" s="2" t="s">
        <v>305</v>
      </c>
      <c r="I3" s="2" t="s">
        <v>306</v>
      </c>
      <c r="J3" s="2" t="s">
        <v>307</v>
      </c>
      <c r="K3" s="2" t="s">
        <v>308</v>
      </c>
      <c r="L3" s="2" t="s">
        <v>309</v>
      </c>
      <c r="M3" s="2" t="s">
        <v>310</v>
      </c>
      <c r="O3" s="5" t="s">
        <v>311</v>
      </c>
    </row>
    <row r="4" spans="1:16" ht="14.5" x14ac:dyDescent="0.35">
      <c r="A4" t="s">
        <v>9</v>
      </c>
      <c r="B4" s="3">
        <v>46077</v>
      </c>
      <c r="C4" t="s">
        <v>10</v>
      </c>
      <c r="D4" t="s">
        <v>11</v>
      </c>
      <c r="E4" s="4">
        <v>1902.8</v>
      </c>
      <c r="F4">
        <v>258</v>
      </c>
      <c r="G4">
        <v>58</v>
      </c>
      <c r="H4">
        <v>2026</v>
      </c>
      <c r="I4">
        <v>2</v>
      </c>
      <c r="J4" s="6">
        <v>0.224806201550388</v>
      </c>
      <c r="K4" t="s">
        <v>312</v>
      </c>
      <c r="L4" s="4">
        <v>7.3751937984496099</v>
      </c>
      <c r="M4" s="4">
        <v>32.806896551724101</v>
      </c>
      <c r="O4" s="7" t="s">
        <v>313</v>
      </c>
      <c r="P4">
        <v>7</v>
      </c>
    </row>
    <row r="5" spans="1:16" ht="14.5" x14ac:dyDescent="0.35">
      <c r="A5" t="s">
        <v>12</v>
      </c>
      <c r="B5" s="3">
        <v>46186</v>
      </c>
      <c r="C5" t="s">
        <v>33</v>
      </c>
      <c r="D5" t="s">
        <v>11</v>
      </c>
      <c r="E5" s="4">
        <v>2408.15</v>
      </c>
      <c r="F5">
        <v>408</v>
      </c>
      <c r="G5">
        <v>89</v>
      </c>
      <c r="H5">
        <v>2026</v>
      </c>
      <c r="I5">
        <v>6</v>
      </c>
      <c r="J5" s="6">
        <v>0.21813725490196101</v>
      </c>
      <c r="K5" t="s">
        <v>312</v>
      </c>
      <c r="L5" s="4">
        <v>5.9023284313725499</v>
      </c>
      <c r="M5" s="4">
        <v>27.057865168539301</v>
      </c>
      <c r="O5" s="7" t="s">
        <v>314</v>
      </c>
      <c r="P5">
        <v>300</v>
      </c>
    </row>
    <row r="6" spans="1:16" ht="14.5" x14ac:dyDescent="0.35">
      <c r="A6" t="s">
        <v>13</v>
      </c>
      <c r="B6" s="3">
        <v>46153</v>
      </c>
      <c r="C6" t="s">
        <v>33</v>
      </c>
      <c r="D6" t="s">
        <v>14</v>
      </c>
      <c r="E6" s="4">
        <v>2635.33</v>
      </c>
      <c r="F6">
        <v>573</v>
      </c>
      <c r="G6">
        <v>100</v>
      </c>
      <c r="H6">
        <v>2026</v>
      </c>
      <c r="I6">
        <v>5</v>
      </c>
      <c r="J6" s="6">
        <v>0.17452006980802801</v>
      </c>
      <c r="K6" t="s">
        <v>315</v>
      </c>
      <c r="L6" s="4">
        <v>4.5991797556718996</v>
      </c>
      <c r="M6" s="4">
        <v>26.353300000000001</v>
      </c>
      <c r="O6" s="7" t="s">
        <v>316</v>
      </c>
      <c r="P6">
        <v>293</v>
      </c>
    </row>
    <row r="7" spans="1:16" ht="14.5" x14ac:dyDescent="0.35">
      <c r="A7" t="s">
        <v>317</v>
      </c>
      <c r="B7" s="3">
        <v>46005</v>
      </c>
      <c r="C7" t="s">
        <v>15</v>
      </c>
      <c r="D7" t="s">
        <v>14</v>
      </c>
      <c r="E7" s="4">
        <v>3036.06</v>
      </c>
      <c r="F7">
        <v>350</v>
      </c>
      <c r="G7">
        <v>61</v>
      </c>
      <c r="H7">
        <v>2025</v>
      </c>
      <c r="I7">
        <v>12</v>
      </c>
      <c r="J7" s="6">
        <v>0.17428571428571399</v>
      </c>
      <c r="K7" t="s">
        <v>315</v>
      </c>
      <c r="L7" s="4">
        <v>8.6744571428571398</v>
      </c>
      <c r="M7" s="4">
        <v>49.7714754098361</v>
      </c>
      <c r="O7" s="7" t="s">
        <v>318</v>
      </c>
      <c r="P7" t="s">
        <v>319</v>
      </c>
    </row>
    <row r="8" spans="1:16" ht="14.5" x14ac:dyDescent="0.35">
      <c r="A8" t="s">
        <v>16</v>
      </c>
      <c r="B8" s="3">
        <v>45732</v>
      </c>
      <c r="C8" t="s">
        <v>15</v>
      </c>
      <c r="D8" t="s">
        <v>17</v>
      </c>
      <c r="E8" s="4">
        <v>4857.8900000000003</v>
      </c>
      <c r="F8">
        <v>742</v>
      </c>
      <c r="G8">
        <v>131</v>
      </c>
      <c r="H8">
        <v>2025</v>
      </c>
      <c r="I8">
        <v>3</v>
      </c>
      <c r="J8" s="6">
        <v>0.17654986522911101</v>
      </c>
      <c r="K8" t="s">
        <v>315</v>
      </c>
      <c r="L8" s="4">
        <v>6.5470215633423203</v>
      </c>
      <c r="M8" s="4">
        <v>37.0831297709924</v>
      </c>
      <c r="O8" s="7" t="s">
        <v>320</v>
      </c>
      <c r="P8" t="s">
        <v>321</v>
      </c>
    </row>
    <row r="9" spans="1:16" ht="14.5" x14ac:dyDescent="0.35">
      <c r="A9" t="s">
        <v>18</v>
      </c>
      <c r="B9" s="3">
        <v>45772</v>
      </c>
      <c r="C9" t="s">
        <v>19</v>
      </c>
      <c r="D9" t="s">
        <v>33</v>
      </c>
      <c r="E9" s="4">
        <v>2904.04</v>
      </c>
      <c r="F9">
        <v>2013</v>
      </c>
      <c r="G9">
        <v>81</v>
      </c>
      <c r="H9">
        <v>2025</v>
      </c>
      <c r="I9">
        <v>4</v>
      </c>
      <c r="J9" s="6">
        <v>4.0238450074515701E-2</v>
      </c>
      <c r="K9" t="s">
        <v>315</v>
      </c>
      <c r="L9" s="4">
        <v>1.44264282165922</v>
      </c>
      <c r="M9" s="4">
        <v>35.852345679012302</v>
      </c>
      <c r="O9" s="7" t="s">
        <v>322</v>
      </c>
      <c r="P9" t="s">
        <v>323</v>
      </c>
    </row>
    <row r="10" spans="1:16" ht="14.5" x14ac:dyDescent="0.35">
      <c r="A10" t="s">
        <v>20</v>
      </c>
      <c r="B10" s="3">
        <v>46185</v>
      </c>
      <c r="C10" t="s">
        <v>10</v>
      </c>
      <c r="D10" t="s">
        <v>21</v>
      </c>
      <c r="E10" s="4">
        <v>518.97</v>
      </c>
      <c r="F10">
        <v>101</v>
      </c>
      <c r="G10">
        <v>20</v>
      </c>
      <c r="H10">
        <v>2026</v>
      </c>
      <c r="I10">
        <v>6</v>
      </c>
      <c r="J10" s="6">
        <v>0.198019801980198</v>
      </c>
      <c r="K10" t="s">
        <v>312</v>
      </c>
      <c r="L10" s="4">
        <v>5.13831683168317</v>
      </c>
      <c r="M10" s="4">
        <v>25.948499999999999</v>
      </c>
      <c r="O10" s="7" t="s">
        <v>324</v>
      </c>
      <c r="P10" t="s">
        <v>325</v>
      </c>
    </row>
    <row r="11" spans="1:16" ht="14.5" x14ac:dyDescent="0.35">
      <c r="A11" t="s">
        <v>22</v>
      </c>
      <c r="B11" s="3">
        <v>46146</v>
      </c>
      <c r="C11" t="s">
        <v>19</v>
      </c>
      <c r="D11" t="s">
        <v>17</v>
      </c>
      <c r="E11" s="4">
        <v>3151.53</v>
      </c>
      <c r="F11">
        <v>510</v>
      </c>
      <c r="G11">
        <v>74</v>
      </c>
      <c r="H11">
        <v>2026</v>
      </c>
      <c r="I11">
        <v>5</v>
      </c>
      <c r="J11" s="6">
        <v>0.14509803921568601</v>
      </c>
      <c r="K11" t="s">
        <v>315</v>
      </c>
      <c r="L11" s="4">
        <v>6.1794705882352901</v>
      </c>
      <c r="M11" s="4">
        <v>42.588243243243298</v>
      </c>
      <c r="O11" s="7" t="s">
        <v>326</v>
      </c>
      <c r="P11" t="s">
        <v>327</v>
      </c>
    </row>
    <row r="12" spans="1:16" ht="14.5" x14ac:dyDescent="0.35">
      <c r="A12" t="s">
        <v>23</v>
      </c>
      <c r="B12" s="3">
        <v>46093</v>
      </c>
      <c r="C12" t="s">
        <v>24</v>
      </c>
      <c r="D12" t="s">
        <v>14</v>
      </c>
      <c r="E12" s="4">
        <v>2558.6</v>
      </c>
      <c r="F12">
        <v>542</v>
      </c>
      <c r="G12">
        <v>109</v>
      </c>
      <c r="H12">
        <v>2026</v>
      </c>
      <c r="I12">
        <v>3</v>
      </c>
      <c r="J12" s="6">
        <v>0.201107011070111</v>
      </c>
      <c r="K12" t="s">
        <v>312</v>
      </c>
      <c r="L12" s="4">
        <v>4.7206642066420699</v>
      </c>
      <c r="M12" s="4">
        <v>23.473394495412801</v>
      </c>
    </row>
    <row r="13" spans="1:16" ht="14.5" x14ac:dyDescent="0.35">
      <c r="A13" t="s">
        <v>25</v>
      </c>
      <c r="B13" s="3">
        <v>45886</v>
      </c>
      <c r="C13" t="s">
        <v>10</v>
      </c>
      <c r="D13" t="s">
        <v>21</v>
      </c>
      <c r="E13" s="4">
        <v>2993.64</v>
      </c>
      <c r="F13">
        <v>602</v>
      </c>
      <c r="G13">
        <v>170</v>
      </c>
      <c r="H13">
        <v>2025</v>
      </c>
      <c r="I13">
        <v>8</v>
      </c>
      <c r="J13" s="6">
        <v>0.282392026578073</v>
      </c>
      <c r="K13" t="s">
        <v>312</v>
      </c>
      <c r="L13" s="4">
        <v>4.97282392026578</v>
      </c>
      <c r="M13" s="4">
        <v>17.609647058823501</v>
      </c>
    </row>
    <row r="14" spans="1:16" ht="14.5" x14ac:dyDescent="0.35">
      <c r="A14" t="s">
        <v>26</v>
      </c>
      <c r="B14" s="3">
        <v>45757</v>
      </c>
      <c r="C14" t="s">
        <v>15</v>
      </c>
      <c r="D14" t="s">
        <v>17</v>
      </c>
      <c r="E14" s="4">
        <v>3988.62</v>
      </c>
      <c r="F14">
        <v>656</v>
      </c>
      <c r="G14">
        <v>121</v>
      </c>
      <c r="H14">
        <v>2025</v>
      </c>
      <c r="I14">
        <v>4</v>
      </c>
      <c r="J14" s="6">
        <v>0.18445121951219501</v>
      </c>
      <c r="K14" t="s">
        <v>315</v>
      </c>
      <c r="L14" s="4">
        <v>6.0802134146341498</v>
      </c>
      <c r="M14" s="4">
        <v>32.963801652892599</v>
      </c>
    </row>
    <row r="15" spans="1:16" ht="14.5" x14ac:dyDescent="0.35">
      <c r="A15" t="s">
        <v>27</v>
      </c>
      <c r="B15" s="3">
        <v>45888</v>
      </c>
      <c r="C15" t="s">
        <v>10</v>
      </c>
      <c r="D15" t="s">
        <v>33</v>
      </c>
      <c r="E15" s="4">
        <v>4275.45</v>
      </c>
      <c r="F15">
        <v>604</v>
      </c>
      <c r="G15">
        <v>169</v>
      </c>
      <c r="H15">
        <v>2025</v>
      </c>
      <c r="I15">
        <v>8</v>
      </c>
      <c r="J15" s="6">
        <v>0.27980132450331102</v>
      </c>
      <c r="K15" t="s">
        <v>312</v>
      </c>
      <c r="L15" s="4">
        <v>7.0785596026490101</v>
      </c>
      <c r="M15" s="4">
        <v>25.298520710059201</v>
      </c>
    </row>
    <row r="16" spans="1:16" ht="14.5" x14ac:dyDescent="0.35">
      <c r="A16" t="s">
        <v>28</v>
      </c>
      <c r="B16" s="3">
        <v>46144</v>
      </c>
      <c r="C16" t="s">
        <v>10</v>
      </c>
      <c r="D16" t="s">
        <v>21</v>
      </c>
      <c r="E16" s="4">
        <v>2086.02</v>
      </c>
      <c r="F16">
        <v>273</v>
      </c>
      <c r="G16">
        <v>88</v>
      </c>
      <c r="H16">
        <v>2026</v>
      </c>
      <c r="I16">
        <v>5</v>
      </c>
      <c r="J16" s="6">
        <v>0.32234432234432198</v>
      </c>
      <c r="K16" t="s">
        <v>312</v>
      </c>
      <c r="L16" s="4">
        <v>7.6410989010988999</v>
      </c>
      <c r="M16" s="4">
        <v>23.704772727272701</v>
      </c>
    </row>
    <row r="17" spans="1:13" ht="14.5" x14ac:dyDescent="0.35">
      <c r="A17" t="s">
        <v>29</v>
      </c>
      <c r="B17" s="3">
        <v>46100</v>
      </c>
      <c r="C17" t="s">
        <v>10</v>
      </c>
      <c r="D17" t="s">
        <v>21</v>
      </c>
      <c r="E17" s="4">
        <v>2263.59</v>
      </c>
      <c r="F17">
        <v>309</v>
      </c>
      <c r="G17">
        <v>69</v>
      </c>
      <c r="H17">
        <v>2026</v>
      </c>
      <c r="I17">
        <v>3</v>
      </c>
      <c r="J17" s="6">
        <v>0.223300970873786</v>
      </c>
      <c r="K17" t="s">
        <v>312</v>
      </c>
      <c r="L17" s="4">
        <v>7.3255339805825299</v>
      </c>
      <c r="M17" s="4">
        <v>32.805652173913103</v>
      </c>
    </row>
    <row r="18" spans="1:13" ht="14.5" x14ac:dyDescent="0.35">
      <c r="A18" t="s">
        <v>30</v>
      </c>
      <c r="B18" s="3">
        <v>45888</v>
      </c>
      <c r="C18" t="s">
        <v>10</v>
      </c>
      <c r="D18" t="s">
        <v>21</v>
      </c>
      <c r="E18" s="4">
        <v>2431.87</v>
      </c>
      <c r="F18">
        <v>576</v>
      </c>
      <c r="G18">
        <v>181</v>
      </c>
      <c r="H18">
        <v>2025</v>
      </c>
      <c r="I18">
        <v>8</v>
      </c>
      <c r="J18" s="6">
        <v>0.31423611111111099</v>
      </c>
      <c r="K18" t="s">
        <v>312</v>
      </c>
      <c r="L18" s="4">
        <v>4.2219965277777796</v>
      </c>
      <c r="M18" s="4">
        <v>13.4357458563536</v>
      </c>
    </row>
    <row r="19" spans="1:13" ht="14.5" x14ac:dyDescent="0.35">
      <c r="A19" t="s">
        <v>31</v>
      </c>
      <c r="B19" s="3">
        <v>45681</v>
      </c>
      <c r="C19" t="s">
        <v>10</v>
      </c>
      <c r="D19" t="s">
        <v>11</v>
      </c>
      <c r="E19" s="4">
        <v>2869.4949999999999</v>
      </c>
      <c r="F19">
        <v>433</v>
      </c>
      <c r="G19">
        <v>113</v>
      </c>
      <c r="H19">
        <v>2025</v>
      </c>
      <c r="I19">
        <v>1</v>
      </c>
      <c r="J19" s="6">
        <v>0.26096997690531198</v>
      </c>
      <c r="K19" t="s">
        <v>312</v>
      </c>
      <c r="L19" s="4">
        <v>6.6270092378752903</v>
      </c>
      <c r="M19" s="4">
        <v>25.393761061946901</v>
      </c>
    </row>
    <row r="20" spans="1:13" ht="14.5" x14ac:dyDescent="0.35">
      <c r="A20" t="s">
        <v>32</v>
      </c>
      <c r="B20" s="3">
        <v>45903</v>
      </c>
      <c r="C20" t="s">
        <v>33</v>
      </c>
      <c r="D20" t="s">
        <v>11</v>
      </c>
      <c r="E20" s="4">
        <v>3520.5</v>
      </c>
      <c r="F20">
        <v>659</v>
      </c>
      <c r="G20">
        <v>130</v>
      </c>
      <c r="H20">
        <v>2025</v>
      </c>
      <c r="I20">
        <v>9</v>
      </c>
      <c r="J20" s="6">
        <v>0.19726858877086501</v>
      </c>
      <c r="K20" t="s">
        <v>312</v>
      </c>
      <c r="L20" s="4">
        <v>5.34218512898331</v>
      </c>
      <c r="M20" s="4">
        <v>27.080769230769199</v>
      </c>
    </row>
    <row r="21" spans="1:13" ht="14.5" x14ac:dyDescent="0.35">
      <c r="A21" t="s">
        <v>34</v>
      </c>
      <c r="B21" s="3">
        <v>46153</v>
      </c>
      <c r="C21" t="s">
        <v>33</v>
      </c>
      <c r="D21" t="s">
        <v>35</v>
      </c>
      <c r="E21" s="4">
        <v>4913.8</v>
      </c>
      <c r="F21">
        <v>799</v>
      </c>
      <c r="G21">
        <v>60</v>
      </c>
      <c r="H21">
        <v>2026</v>
      </c>
      <c r="I21">
        <v>5</v>
      </c>
      <c r="J21" s="6">
        <v>7.5093867334167702E-2</v>
      </c>
      <c r="K21" t="s">
        <v>315</v>
      </c>
      <c r="L21" s="4">
        <v>6.1499374217772198</v>
      </c>
      <c r="M21" s="4">
        <v>81.896666666666704</v>
      </c>
    </row>
    <row r="22" spans="1:13" ht="14.5" x14ac:dyDescent="0.35">
      <c r="A22" t="s">
        <v>36</v>
      </c>
      <c r="B22" s="3">
        <v>45860</v>
      </c>
      <c r="C22" t="s">
        <v>24</v>
      </c>
      <c r="D22" t="s">
        <v>33</v>
      </c>
      <c r="E22" s="4">
        <v>3753.98</v>
      </c>
      <c r="F22">
        <v>334</v>
      </c>
      <c r="G22">
        <v>55</v>
      </c>
      <c r="H22">
        <v>2025</v>
      </c>
      <c r="I22">
        <v>7</v>
      </c>
      <c r="J22" s="6">
        <v>0.164670658682635</v>
      </c>
      <c r="K22" t="s">
        <v>315</v>
      </c>
      <c r="L22" s="4">
        <v>11.2394610778443</v>
      </c>
      <c r="M22" s="4">
        <v>68.254181818181806</v>
      </c>
    </row>
    <row r="23" spans="1:13" ht="14.5" x14ac:dyDescent="0.35">
      <c r="A23" t="s">
        <v>37</v>
      </c>
      <c r="B23" s="3">
        <v>45955</v>
      </c>
      <c r="C23" t="s">
        <v>10</v>
      </c>
      <c r="D23" t="s">
        <v>11</v>
      </c>
      <c r="E23" s="4">
        <v>457.9</v>
      </c>
      <c r="F23">
        <v>42</v>
      </c>
      <c r="G23">
        <v>10</v>
      </c>
      <c r="H23">
        <v>2025</v>
      </c>
      <c r="I23">
        <v>10</v>
      </c>
      <c r="J23" s="6">
        <v>0.238095238095238</v>
      </c>
      <c r="K23" t="s">
        <v>312</v>
      </c>
      <c r="L23" s="4">
        <v>10.902380952381</v>
      </c>
      <c r="M23" s="4">
        <v>45.79</v>
      </c>
    </row>
    <row r="24" spans="1:13" ht="14.5" x14ac:dyDescent="0.35">
      <c r="A24" t="s">
        <v>38</v>
      </c>
      <c r="B24" s="3">
        <v>46228</v>
      </c>
      <c r="C24" t="s">
        <v>10</v>
      </c>
      <c r="D24" t="s">
        <v>17</v>
      </c>
      <c r="E24" s="4">
        <v>4532.21</v>
      </c>
      <c r="F24">
        <v>843</v>
      </c>
      <c r="G24">
        <v>163</v>
      </c>
      <c r="H24">
        <v>2026</v>
      </c>
      <c r="I24">
        <v>7</v>
      </c>
      <c r="J24" s="6">
        <v>0.193357058125741</v>
      </c>
      <c r="K24" t="s">
        <v>312</v>
      </c>
      <c r="L24" s="4">
        <v>5.3762870699881402</v>
      </c>
      <c r="M24" s="4">
        <v>27.804969325153401</v>
      </c>
    </row>
    <row r="25" spans="1:13" ht="14.5" x14ac:dyDescent="0.35">
      <c r="A25" t="s">
        <v>39</v>
      </c>
      <c r="B25" s="3">
        <v>45811</v>
      </c>
      <c r="C25" t="s">
        <v>15</v>
      </c>
      <c r="D25" t="s">
        <v>17</v>
      </c>
      <c r="E25" s="4">
        <v>4633.21</v>
      </c>
      <c r="F25">
        <v>426</v>
      </c>
      <c r="G25">
        <v>92</v>
      </c>
      <c r="H25">
        <v>2025</v>
      </c>
      <c r="I25">
        <v>6</v>
      </c>
      <c r="J25" s="6">
        <v>0.215962441314554</v>
      </c>
      <c r="K25" t="s">
        <v>312</v>
      </c>
      <c r="L25" s="4">
        <v>10.8760798122066</v>
      </c>
      <c r="M25" s="4">
        <v>50.360978260869601</v>
      </c>
    </row>
    <row r="26" spans="1:13" ht="14.5" x14ac:dyDescent="0.35">
      <c r="A26" t="s">
        <v>40</v>
      </c>
      <c r="B26" s="3">
        <v>46168</v>
      </c>
      <c r="C26" t="s">
        <v>15</v>
      </c>
      <c r="D26" t="s">
        <v>11</v>
      </c>
      <c r="E26" s="4">
        <v>2503.33</v>
      </c>
      <c r="F26">
        <v>297</v>
      </c>
      <c r="G26">
        <v>53</v>
      </c>
      <c r="H26">
        <v>2026</v>
      </c>
      <c r="I26">
        <v>5</v>
      </c>
      <c r="J26" s="6">
        <v>0.178451178451178</v>
      </c>
      <c r="K26" t="s">
        <v>315</v>
      </c>
      <c r="L26" s="4">
        <v>8.4287205387205404</v>
      </c>
      <c r="M26" s="4">
        <v>47.232641509434004</v>
      </c>
    </row>
    <row r="27" spans="1:13" ht="14.5" x14ac:dyDescent="0.35">
      <c r="A27" t="s">
        <v>41</v>
      </c>
      <c r="B27" s="3">
        <v>45941</v>
      </c>
      <c r="C27" t="s">
        <v>19</v>
      </c>
      <c r="D27" t="s">
        <v>11</v>
      </c>
      <c r="E27" s="4">
        <v>2370.21</v>
      </c>
      <c r="F27">
        <v>553</v>
      </c>
      <c r="G27">
        <v>120</v>
      </c>
      <c r="H27">
        <v>2025</v>
      </c>
      <c r="I27">
        <v>10</v>
      </c>
      <c r="J27" s="6">
        <v>0.21699819168173601</v>
      </c>
      <c r="K27" t="s">
        <v>312</v>
      </c>
      <c r="L27" s="4">
        <v>4.2860940325497303</v>
      </c>
      <c r="M27" s="4">
        <v>19.751750000000001</v>
      </c>
    </row>
    <row r="28" spans="1:13" ht="14.5" x14ac:dyDescent="0.35">
      <c r="A28" t="s">
        <v>42</v>
      </c>
      <c r="B28" s="3">
        <v>45834</v>
      </c>
      <c r="C28" t="s">
        <v>24</v>
      </c>
      <c r="D28" t="s">
        <v>43</v>
      </c>
      <c r="E28" s="4">
        <v>4663.53</v>
      </c>
      <c r="F28">
        <v>641</v>
      </c>
      <c r="G28">
        <v>109</v>
      </c>
      <c r="H28">
        <v>2025</v>
      </c>
      <c r="I28">
        <v>6</v>
      </c>
      <c r="J28" s="6">
        <v>0.17004680187207499</v>
      </c>
      <c r="K28" t="s">
        <v>315</v>
      </c>
      <c r="L28" s="4">
        <v>7.2753978159126396</v>
      </c>
      <c r="M28" s="4">
        <v>42.7846788990826</v>
      </c>
    </row>
    <row r="29" spans="1:13" ht="14.5" x14ac:dyDescent="0.35">
      <c r="A29" t="s">
        <v>44</v>
      </c>
      <c r="B29" s="3">
        <v>46005</v>
      </c>
      <c r="C29" t="s">
        <v>19</v>
      </c>
      <c r="D29" t="s">
        <v>11</v>
      </c>
      <c r="E29" s="4">
        <v>658.72</v>
      </c>
      <c r="F29">
        <v>52</v>
      </c>
      <c r="G29">
        <v>8</v>
      </c>
      <c r="H29">
        <v>2025</v>
      </c>
      <c r="I29">
        <v>12</v>
      </c>
      <c r="J29" s="6">
        <v>0.15384615384615399</v>
      </c>
      <c r="K29" t="s">
        <v>315</v>
      </c>
      <c r="L29" s="4">
        <v>12.667692307692301</v>
      </c>
      <c r="M29" s="4">
        <v>82.34</v>
      </c>
    </row>
    <row r="30" spans="1:13" ht="14.5" x14ac:dyDescent="0.35">
      <c r="A30" t="s">
        <v>45</v>
      </c>
      <c r="B30" s="3">
        <v>46056</v>
      </c>
      <c r="C30" t="s">
        <v>19</v>
      </c>
      <c r="D30" t="s">
        <v>11</v>
      </c>
      <c r="E30" s="4">
        <v>2413.8000000000002</v>
      </c>
      <c r="F30">
        <v>574</v>
      </c>
      <c r="G30">
        <v>95</v>
      </c>
      <c r="H30">
        <v>2026</v>
      </c>
      <c r="I30">
        <v>2</v>
      </c>
      <c r="J30" s="6">
        <v>0.16550522648083599</v>
      </c>
      <c r="K30" t="s">
        <v>315</v>
      </c>
      <c r="L30" s="4">
        <v>4.2052264808362398</v>
      </c>
      <c r="M30" s="4">
        <v>25.408421052631599</v>
      </c>
    </row>
    <row r="31" spans="1:13" ht="14.5" x14ac:dyDescent="0.35">
      <c r="A31" t="s">
        <v>46</v>
      </c>
      <c r="B31" s="3">
        <v>45771</v>
      </c>
      <c r="C31" t="s">
        <v>15</v>
      </c>
      <c r="D31" t="s">
        <v>35</v>
      </c>
      <c r="E31" s="4">
        <v>1496.59</v>
      </c>
      <c r="F31">
        <v>223</v>
      </c>
      <c r="G31">
        <v>36</v>
      </c>
      <c r="H31">
        <v>2025</v>
      </c>
      <c r="I31">
        <v>4</v>
      </c>
      <c r="J31" s="6">
        <v>0.161434977578475</v>
      </c>
      <c r="K31" t="s">
        <v>315</v>
      </c>
      <c r="L31" s="4">
        <v>6.7111659192825099</v>
      </c>
      <c r="M31" s="4">
        <v>41.571944444444398</v>
      </c>
    </row>
    <row r="32" spans="1:13" ht="14.5" x14ac:dyDescent="0.35">
      <c r="A32" t="s">
        <v>47</v>
      </c>
      <c r="B32" s="3">
        <v>46050</v>
      </c>
      <c r="C32" t="s">
        <v>19</v>
      </c>
      <c r="D32" t="s">
        <v>33</v>
      </c>
      <c r="E32" s="4">
        <v>3057.48</v>
      </c>
      <c r="F32">
        <v>503</v>
      </c>
      <c r="G32">
        <v>73</v>
      </c>
      <c r="H32">
        <v>2026</v>
      </c>
      <c r="I32">
        <v>1</v>
      </c>
      <c r="J32" s="6">
        <v>0.145129224652088</v>
      </c>
      <c r="K32" t="s">
        <v>315</v>
      </c>
      <c r="L32" s="4">
        <v>6.0784890656063597</v>
      </c>
      <c r="M32" s="4">
        <v>41.8832876712329</v>
      </c>
    </row>
    <row r="33" spans="1:13" ht="14.5" x14ac:dyDescent="0.35">
      <c r="A33" t="s">
        <v>48</v>
      </c>
      <c r="B33" s="3">
        <v>45662</v>
      </c>
      <c r="C33" t="s">
        <v>10</v>
      </c>
      <c r="D33" t="s">
        <v>43</v>
      </c>
      <c r="E33" s="4">
        <v>2869.4949999999999</v>
      </c>
      <c r="F33">
        <v>118</v>
      </c>
      <c r="G33">
        <v>25</v>
      </c>
      <c r="H33">
        <v>2025</v>
      </c>
      <c r="I33">
        <v>1</v>
      </c>
      <c r="J33" s="6">
        <v>0.21186440677966101</v>
      </c>
      <c r="K33" t="s">
        <v>312</v>
      </c>
      <c r="L33" s="4">
        <v>24.317754237288099</v>
      </c>
      <c r="M33" s="4">
        <v>114.77979999999999</v>
      </c>
    </row>
    <row r="34" spans="1:13" ht="14.5" x14ac:dyDescent="0.35">
      <c r="A34" t="s">
        <v>49</v>
      </c>
      <c r="B34" s="3">
        <v>45941</v>
      </c>
      <c r="C34" t="s">
        <v>15</v>
      </c>
      <c r="D34" t="s">
        <v>11</v>
      </c>
      <c r="E34" s="4">
        <v>4668.7299999999996</v>
      </c>
      <c r="F34">
        <v>537</v>
      </c>
      <c r="G34">
        <v>48</v>
      </c>
      <c r="H34">
        <v>2025</v>
      </c>
      <c r="I34">
        <v>10</v>
      </c>
      <c r="J34" s="6">
        <v>8.9385474860335198E-2</v>
      </c>
      <c r="K34" t="s">
        <v>315</v>
      </c>
      <c r="L34" s="4">
        <v>8.69409683426443</v>
      </c>
      <c r="M34" s="4">
        <v>97.265208333333305</v>
      </c>
    </row>
    <row r="35" spans="1:13" ht="14.5" x14ac:dyDescent="0.35">
      <c r="A35" t="s">
        <v>50</v>
      </c>
      <c r="B35" s="3">
        <v>45800</v>
      </c>
      <c r="C35" t="s">
        <v>19</v>
      </c>
      <c r="D35" t="s">
        <v>17</v>
      </c>
      <c r="E35" s="4">
        <v>994.02</v>
      </c>
      <c r="F35">
        <v>426</v>
      </c>
      <c r="G35">
        <v>33</v>
      </c>
      <c r="H35">
        <v>2025</v>
      </c>
      <c r="I35">
        <v>5</v>
      </c>
      <c r="J35" s="6">
        <v>7.7464788732394402E-2</v>
      </c>
      <c r="K35" t="s">
        <v>315</v>
      </c>
      <c r="L35" s="4">
        <v>2.3333802816901401</v>
      </c>
      <c r="M35" s="4">
        <v>30.121818181818199</v>
      </c>
    </row>
    <row r="36" spans="1:13" ht="14.5" x14ac:dyDescent="0.35">
      <c r="A36" t="s">
        <v>51</v>
      </c>
      <c r="B36" s="3">
        <v>45988</v>
      </c>
      <c r="C36" t="s">
        <v>10</v>
      </c>
      <c r="D36" t="s">
        <v>21</v>
      </c>
      <c r="E36" s="4">
        <v>4865.12</v>
      </c>
      <c r="F36">
        <v>463</v>
      </c>
      <c r="G36">
        <v>137</v>
      </c>
      <c r="H36">
        <v>2025</v>
      </c>
      <c r="I36">
        <v>11</v>
      </c>
      <c r="J36" s="6">
        <v>0.29589632829373702</v>
      </c>
      <c r="K36" t="s">
        <v>312</v>
      </c>
      <c r="L36" s="4">
        <v>10.507818574513999</v>
      </c>
      <c r="M36" s="4">
        <v>35.511824817518303</v>
      </c>
    </row>
    <row r="37" spans="1:13" ht="14.5" x14ac:dyDescent="0.35">
      <c r="A37" t="s">
        <v>52</v>
      </c>
      <c r="B37" s="3">
        <v>46131</v>
      </c>
      <c r="C37" t="s">
        <v>24</v>
      </c>
      <c r="D37" t="s">
        <v>11</v>
      </c>
      <c r="E37" s="4">
        <v>2693.81</v>
      </c>
      <c r="F37">
        <v>533</v>
      </c>
      <c r="G37">
        <v>83</v>
      </c>
      <c r="H37">
        <v>2026</v>
      </c>
      <c r="I37">
        <v>4</v>
      </c>
      <c r="J37" s="6">
        <v>0.155722326454034</v>
      </c>
      <c r="K37" t="s">
        <v>315</v>
      </c>
      <c r="L37" s="4">
        <v>5.0540525328330199</v>
      </c>
      <c r="M37" s="4">
        <v>32.455542168674697</v>
      </c>
    </row>
    <row r="38" spans="1:13" ht="14.5" x14ac:dyDescent="0.35">
      <c r="A38" t="s">
        <v>53</v>
      </c>
      <c r="B38" s="3">
        <v>45678</v>
      </c>
      <c r="C38" t="s">
        <v>15</v>
      </c>
      <c r="D38" t="s">
        <v>17</v>
      </c>
      <c r="E38" s="4">
        <v>2861.6</v>
      </c>
      <c r="F38">
        <v>388</v>
      </c>
      <c r="G38">
        <v>63</v>
      </c>
      <c r="H38">
        <v>2025</v>
      </c>
      <c r="I38">
        <v>1</v>
      </c>
      <c r="J38" s="6">
        <v>0.16237113402061901</v>
      </c>
      <c r="K38" t="s">
        <v>315</v>
      </c>
      <c r="L38" s="4">
        <v>7.3752577319587598</v>
      </c>
      <c r="M38" s="4">
        <v>45.422222222222203</v>
      </c>
    </row>
    <row r="39" spans="1:13" ht="14.5" x14ac:dyDescent="0.35">
      <c r="A39" t="s">
        <v>54</v>
      </c>
      <c r="B39" s="3">
        <v>45861</v>
      </c>
      <c r="C39" t="s">
        <v>10</v>
      </c>
      <c r="D39" t="s">
        <v>21</v>
      </c>
      <c r="E39" s="4">
        <v>480.1</v>
      </c>
      <c r="F39">
        <v>76</v>
      </c>
      <c r="G39">
        <v>16</v>
      </c>
      <c r="H39">
        <v>2025</v>
      </c>
      <c r="I39">
        <v>7</v>
      </c>
      <c r="J39" s="6">
        <v>0.21052631578947401</v>
      </c>
      <c r="K39" t="s">
        <v>312</v>
      </c>
      <c r="L39" s="4">
        <v>6.3171052631578997</v>
      </c>
      <c r="M39" s="4">
        <v>30.006250000000001</v>
      </c>
    </row>
    <row r="40" spans="1:13" ht="14.5" x14ac:dyDescent="0.35">
      <c r="A40" t="s">
        <v>55</v>
      </c>
      <c r="B40" s="3">
        <v>45795</v>
      </c>
      <c r="C40" t="s">
        <v>10</v>
      </c>
      <c r="D40" t="s">
        <v>35</v>
      </c>
      <c r="E40" s="4">
        <v>3712.61</v>
      </c>
      <c r="F40">
        <v>420</v>
      </c>
      <c r="G40">
        <v>73</v>
      </c>
      <c r="H40">
        <v>2025</v>
      </c>
      <c r="I40">
        <v>5</v>
      </c>
      <c r="J40" s="6">
        <v>0.173809523809524</v>
      </c>
      <c r="K40" t="s">
        <v>315</v>
      </c>
      <c r="L40" s="4">
        <v>8.8395476190476199</v>
      </c>
      <c r="M40" s="4">
        <v>50.857671232876697</v>
      </c>
    </row>
    <row r="41" spans="1:13" ht="14.5" x14ac:dyDescent="0.35">
      <c r="A41" t="s">
        <v>56</v>
      </c>
      <c r="B41" s="3">
        <v>46155</v>
      </c>
      <c r="C41" t="s">
        <v>19</v>
      </c>
      <c r="D41" t="s">
        <v>14</v>
      </c>
      <c r="E41" s="4">
        <v>1258.1600000000001</v>
      </c>
      <c r="F41">
        <v>155</v>
      </c>
      <c r="G41">
        <v>32</v>
      </c>
      <c r="H41">
        <v>2026</v>
      </c>
      <c r="I41">
        <v>5</v>
      </c>
      <c r="J41" s="6">
        <v>0.206451612903226</v>
      </c>
      <c r="K41" t="s">
        <v>312</v>
      </c>
      <c r="L41" s="4">
        <v>8.1171612903225796</v>
      </c>
      <c r="M41" s="4">
        <v>39.317500000000003</v>
      </c>
    </row>
    <row r="42" spans="1:13" ht="14.5" x14ac:dyDescent="0.35">
      <c r="A42" t="s">
        <v>57</v>
      </c>
      <c r="B42" s="3">
        <v>46021</v>
      </c>
      <c r="C42" t="s">
        <v>24</v>
      </c>
      <c r="D42" t="s">
        <v>43</v>
      </c>
      <c r="E42" s="4">
        <v>2823.43</v>
      </c>
      <c r="F42">
        <v>539</v>
      </c>
      <c r="G42">
        <v>122</v>
      </c>
      <c r="H42">
        <v>2025</v>
      </c>
      <c r="I42">
        <v>12</v>
      </c>
      <c r="J42" s="6">
        <v>0.226345083487941</v>
      </c>
      <c r="K42" t="s">
        <v>312</v>
      </c>
      <c r="L42" s="4">
        <v>5.2382745825603001</v>
      </c>
      <c r="M42" s="4">
        <v>23.142868852458999</v>
      </c>
    </row>
    <row r="43" spans="1:13" ht="14.5" x14ac:dyDescent="0.35">
      <c r="A43" t="s">
        <v>58</v>
      </c>
      <c r="B43" s="3">
        <v>45909</v>
      </c>
      <c r="C43" t="s">
        <v>24</v>
      </c>
      <c r="D43" t="s">
        <v>35</v>
      </c>
      <c r="E43" s="4">
        <v>4168.08</v>
      </c>
      <c r="F43">
        <v>815</v>
      </c>
      <c r="G43">
        <v>206</v>
      </c>
      <c r="H43">
        <v>2025</v>
      </c>
      <c r="I43">
        <v>9</v>
      </c>
      <c r="J43" s="6">
        <v>0.252760736196319</v>
      </c>
      <c r="K43" t="s">
        <v>312</v>
      </c>
      <c r="L43" s="4">
        <v>5.1142085889570597</v>
      </c>
      <c r="M43" s="4">
        <v>20.233398058252401</v>
      </c>
    </row>
    <row r="44" spans="1:13" ht="14.5" x14ac:dyDescent="0.35">
      <c r="A44" t="s">
        <v>59</v>
      </c>
      <c r="B44" s="3">
        <v>45674</v>
      </c>
      <c r="C44" t="s">
        <v>10</v>
      </c>
      <c r="D44" t="s">
        <v>43</v>
      </c>
      <c r="E44" s="4">
        <v>1273.23</v>
      </c>
      <c r="F44">
        <v>305</v>
      </c>
      <c r="G44">
        <v>53</v>
      </c>
      <c r="H44">
        <v>2025</v>
      </c>
      <c r="I44">
        <v>1</v>
      </c>
      <c r="J44" s="6">
        <v>0.173770491803279</v>
      </c>
      <c r="K44" t="s">
        <v>315</v>
      </c>
      <c r="L44" s="4">
        <v>4.1745245901639398</v>
      </c>
      <c r="M44" s="4">
        <v>24.0232075471698</v>
      </c>
    </row>
    <row r="45" spans="1:13" ht="14.5" x14ac:dyDescent="0.35">
      <c r="A45" t="s">
        <v>60</v>
      </c>
      <c r="B45" s="3">
        <v>45890</v>
      </c>
      <c r="C45" t="s">
        <v>10</v>
      </c>
      <c r="D45" t="s">
        <v>43</v>
      </c>
      <c r="E45" s="4">
        <v>1245.83</v>
      </c>
      <c r="F45">
        <v>178</v>
      </c>
      <c r="G45">
        <v>60</v>
      </c>
      <c r="H45">
        <v>2025</v>
      </c>
      <c r="I45">
        <v>8</v>
      </c>
      <c r="J45" s="6">
        <v>0.33707865168539303</v>
      </c>
      <c r="K45" t="s">
        <v>312</v>
      </c>
      <c r="L45" s="4">
        <v>6.9990449438202198</v>
      </c>
      <c r="M45" s="4">
        <v>20.763833333333299</v>
      </c>
    </row>
    <row r="46" spans="1:13" ht="14.5" x14ac:dyDescent="0.35">
      <c r="A46" t="s">
        <v>62</v>
      </c>
      <c r="B46" s="3">
        <v>45857</v>
      </c>
      <c r="C46" t="s">
        <v>33</v>
      </c>
      <c r="D46" t="s">
        <v>11</v>
      </c>
      <c r="E46" s="4">
        <v>4901.34</v>
      </c>
      <c r="F46">
        <v>892</v>
      </c>
      <c r="G46">
        <v>171</v>
      </c>
      <c r="H46">
        <v>2025</v>
      </c>
      <c r="I46">
        <v>7</v>
      </c>
      <c r="J46" s="6">
        <v>0.19170403587443999</v>
      </c>
      <c r="K46" t="s">
        <v>312</v>
      </c>
      <c r="L46" s="4">
        <v>5.4947757847533598</v>
      </c>
      <c r="M46" s="4">
        <v>28.662807017543901</v>
      </c>
    </row>
    <row r="47" spans="1:13" ht="14.5" x14ac:dyDescent="0.35">
      <c r="A47" t="s">
        <v>63</v>
      </c>
      <c r="B47" s="3">
        <v>45867</v>
      </c>
      <c r="C47" t="s">
        <v>15</v>
      </c>
      <c r="D47" t="s">
        <v>11</v>
      </c>
      <c r="E47" s="4">
        <v>4346.26</v>
      </c>
      <c r="F47">
        <v>479</v>
      </c>
      <c r="G47">
        <v>73</v>
      </c>
      <c r="H47">
        <v>2025</v>
      </c>
      <c r="I47">
        <v>7</v>
      </c>
      <c r="J47" s="6">
        <v>0.15240083507306901</v>
      </c>
      <c r="K47" t="s">
        <v>315</v>
      </c>
      <c r="L47" s="4">
        <v>9.07361169102297</v>
      </c>
      <c r="M47" s="4">
        <v>59.537808219178103</v>
      </c>
    </row>
    <row r="48" spans="1:13" ht="14.5" x14ac:dyDescent="0.35">
      <c r="A48" t="s">
        <v>64</v>
      </c>
      <c r="B48" s="3">
        <v>46036</v>
      </c>
      <c r="C48" t="s">
        <v>15</v>
      </c>
      <c r="D48" t="s">
        <v>11</v>
      </c>
      <c r="E48" s="4">
        <v>4817.75</v>
      </c>
      <c r="F48">
        <v>1049</v>
      </c>
      <c r="G48">
        <v>181</v>
      </c>
      <c r="H48">
        <v>2026</v>
      </c>
      <c r="I48">
        <v>1</v>
      </c>
      <c r="J48" s="6">
        <v>0.17254528122021001</v>
      </c>
      <c r="K48" t="s">
        <v>315</v>
      </c>
      <c r="L48" s="4">
        <v>4.5927073403241199</v>
      </c>
      <c r="M48" s="4">
        <v>26.617403314917102</v>
      </c>
    </row>
    <row r="49" spans="1:13" ht="14.5" x14ac:dyDescent="0.35">
      <c r="A49" t="s">
        <v>328</v>
      </c>
      <c r="B49" s="3">
        <v>46003</v>
      </c>
      <c r="C49" t="s">
        <v>24</v>
      </c>
      <c r="D49" t="s">
        <v>14</v>
      </c>
      <c r="E49" s="4">
        <v>851.41</v>
      </c>
      <c r="F49">
        <v>164</v>
      </c>
      <c r="G49">
        <v>35</v>
      </c>
      <c r="H49">
        <v>2025</v>
      </c>
      <c r="I49">
        <v>12</v>
      </c>
      <c r="J49" s="6">
        <v>0.21341463414634201</v>
      </c>
      <c r="K49" t="s">
        <v>312</v>
      </c>
      <c r="L49" s="4">
        <v>5.1915243902438997</v>
      </c>
      <c r="M49" s="4">
        <v>24.326000000000001</v>
      </c>
    </row>
    <row r="50" spans="1:13" ht="14.5" x14ac:dyDescent="0.35">
      <c r="A50" t="s">
        <v>65</v>
      </c>
      <c r="B50" s="3">
        <v>45769</v>
      </c>
      <c r="C50" t="s">
        <v>24</v>
      </c>
      <c r="D50" t="s">
        <v>11</v>
      </c>
      <c r="E50" s="4">
        <v>1739.97</v>
      </c>
      <c r="F50">
        <v>404</v>
      </c>
      <c r="G50">
        <v>63</v>
      </c>
      <c r="H50">
        <v>2025</v>
      </c>
      <c r="I50">
        <v>4</v>
      </c>
      <c r="J50" s="6">
        <v>0.155940594059406</v>
      </c>
      <c r="K50" t="s">
        <v>315</v>
      </c>
      <c r="L50" s="4">
        <v>4.3068564356435699</v>
      </c>
      <c r="M50" s="4">
        <v>27.6185714285714</v>
      </c>
    </row>
    <row r="51" spans="1:13" ht="14.5" x14ac:dyDescent="0.35">
      <c r="A51" t="s">
        <v>66</v>
      </c>
      <c r="B51" s="3">
        <v>46050</v>
      </c>
      <c r="C51" t="s">
        <v>15</v>
      </c>
      <c r="D51" t="s">
        <v>35</v>
      </c>
      <c r="E51" s="4">
        <v>4965.01</v>
      </c>
      <c r="F51">
        <v>1009</v>
      </c>
      <c r="G51">
        <v>151</v>
      </c>
      <c r="H51">
        <v>2026</v>
      </c>
      <c r="I51">
        <v>1</v>
      </c>
      <c r="J51" s="6">
        <v>0.149653121902874</v>
      </c>
      <c r="K51" t="s">
        <v>315</v>
      </c>
      <c r="L51" s="4">
        <v>4.9207234886025804</v>
      </c>
      <c r="M51" s="4">
        <v>32.880860927152298</v>
      </c>
    </row>
    <row r="52" spans="1:13" ht="14.5" x14ac:dyDescent="0.35">
      <c r="A52" t="s">
        <v>67</v>
      </c>
      <c r="B52" s="3">
        <v>46097</v>
      </c>
      <c r="C52" t="s">
        <v>24</v>
      </c>
      <c r="D52" t="s">
        <v>14</v>
      </c>
      <c r="E52" s="4">
        <v>2058.15</v>
      </c>
      <c r="F52">
        <v>416</v>
      </c>
      <c r="G52">
        <v>83</v>
      </c>
      <c r="H52">
        <v>2026</v>
      </c>
      <c r="I52">
        <v>3</v>
      </c>
      <c r="J52" s="6">
        <v>0.199519230769231</v>
      </c>
      <c r="K52" t="s">
        <v>312</v>
      </c>
      <c r="L52" s="4">
        <v>4.9474759615384603</v>
      </c>
      <c r="M52" s="4">
        <v>24.7969879518072</v>
      </c>
    </row>
    <row r="53" spans="1:13" ht="14.5" x14ac:dyDescent="0.35">
      <c r="A53" t="s">
        <v>329</v>
      </c>
      <c r="B53" s="3">
        <v>46085</v>
      </c>
      <c r="C53" t="s">
        <v>10</v>
      </c>
      <c r="D53" t="s">
        <v>35</v>
      </c>
      <c r="E53" s="4">
        <v>1936.71</v>
      </c>
      <c r="F53">
        <v>333</v>
      </c>
      <c r="G53">
        <v>59</v>
      </c>
      <c r="H53">
        <v>2026</v>
      </c>
      <c r="I53">
        <v>3</v>
      </c>
      <c r="J53" s="6">
        <v>0.17717717717717699</v>
      </c>
      <c r="K53" t="s">
        <v>315</v>
      </c>
      <c r="L53" s="4">
        <v>5.8159459459459502</v>
      </c>
      <c r="M53" s="4">
        <v>32.825593220339002</v>
      </c>
    </row>
    <row r="54" spans="1:13" ht="14.5" x14ac:dyDescent="0.35">
      <c r="A54" t="s">
        <v>68</v>
      </c>
      <c r="B54" s="3">
        <v>45877</v>
      </c>
      <c r="C54" t="s">
        <v>15</v>
      </c>
      <c r="D54" t="s">
        <v>21</v>
      </c>
      <c r="E54" s="4">
        <v>1757.72</v>
      </c>
      <c r="F54">
        <v>287</v>
      </c>
      <c r="G54">
        <v>34</v>
      </c>
      <c r="H54">
        <v>2025</v>
      </c>
      <c r="I54">
        <v>8</v>
      </c>
      <c r="J54" s="6">
        <v>0.118466898954704</v>
      </c>
      <c r="K54" t="s">
        <v>315</v>
      </c>
      <c r="L54" s="4">
        <v>6.1244599303135896</v>
      </c>
      <c r="M54" s="4">
        <v>51.697647058823499</v>
      </c>
    </row>
    <row r="55" spans="1:13" ht="14.5" x14ac:dyDescent="0.35">
      <c r="A55" t="s">
        <v>69</v>
      </c>
      <c r="B55" s="3">
        <v>45938</v>
      </c>
      <c r="C55" t="s">
        <v>15</v>
      </c>
      <c r="D55" t="s">
        <v>11</v>
      </c>
      <c r="E55" s="4">
        <v>2412.9699999999998</v>
      </c>
      <c r="F55">
        <v>271</v>
      </c>
      <c r="G55">
        <v>26</v>
      </c>
      <c r="H55">
        <v>2025</v>
      </c>
      <c r="I55">
        <v>10</v>
      </c>
      <c r="J55" s="6">
        <v>9.5940959409594101E-2</v>
      </c>
      <c r="K55" t="s">
        <v>315</v>
      </c>
      <c r="L55" s="4">
        <v>8.9039483394833905</v>
      </c>
      <c r="M55" s="4">
        <v>92.806538461538494</v>
      </c>
    </row>
    <row r="56" spans="1:13" ht="14.5" x14ac:dyDescent="0.35">
      <c r="A56" t="s">
        <v>71</v>
      </c>
      <c r="B56" s="3">
        <v>46153</v>
      </c>
      <c r="C56" t="s">
        <v>19</v>
      </c>
      <c r="D56" t="s">
        <v>11</v>
      </c>
      <c r="E56" s="4">
        <v>2457.4899999999998</v>
      </c>
      <c r="F56">
        <v>238</v>
      </c>
      <c r="G56">
        <v>42</v>
      </c>
      <c r="H56">
        <v>2026</v>
      </c>
      <c r="I56">
        <v>5</v>
      </c>
      <c r="J56" s="6">
        <v>0.17647058823529399</v>
      </c>
      <c r="K56" t="s">
        <v>315</v>
      </c>
      <c r="L56" s="4">
        <v>10.3255882352941</v>
      </c>
      <c r="M56" s="4">
        <v>58.511666666666699</v>
      </c>
    </row>
    <row r="57" spans="1:13" ht="14.5" x14ac:dyDescent="0.35">
      <c r="A57" t="s">
        <v>72</v>
      </c>
      <c r="B57" s="3">
        <v>45941</v>
      </c>
      <c r="C57" t="s">
        <v>24</v>
      </c>
      <c r="D57" t="s">
        <v>43</v>
      </c>
      <c r="E57" s="4">
        <v>1910.65</v>
      </c>
      <c r="F57">
        <v>351</v>
      </c>
      <c r="G57">
        <v>62</v>
      </c>
      <c r="H57">
        <v>2025</v>
      </c>
      <c r="I57">
        <v>10</v>
      </c>
      <c r="J57" s="6">
        <v>0.17663817663817699</v>
      </c>
      <c r="K57" t="s">
        <v>315</v>
      </c>
      <c r="L57" s="4">
        <v>5.4434472934472904</v>
      </c>
      <c r="M57" s="4">
        <v>30.816935483870999</v>
      </c>
    </row>
    <row r="58" spans="1:13" ht="14.5" x14ac:dyDescent="0.35">
      <c r="A58" t="s">
        <v>73</v>
      </c>
      <c r="B58" s="3">
        <v>45874</v>
      </c>
      <c r="C58" t="s">
        <v>15</v>
      </c>
      <c r="D58" t="s">
        <v>14</v>
      </c>
      <c r="E58" s="4">
        <v>3357.04</v>
      </c>
      <c r="F58">
        <v>426</v>
      </c>
      <c r="G58">
        <v>152</v>
      </c>
      <c r="H58">
        <v>2025</v>
      </c>
      <c r="I58">
        <v>8</v>
      </c>
      <c r="J58" s="6">
        <v>0.35680751173708902</v>
      </c>
      <c r="K58" t="s">
        <v>312</v>
      </c>
      <c r="L58" s="4">
        <v>7.88037558685446</v>
      </c>
      <c r="M58" s="4">
        <v>22.085789473684201</v>
      </c>
    </row>
    <row r="59" spans="1:13" ht="14.5" x14ac:dyDescent="0.35">
      <c r="A59" t="s">
        <v>74</v>
      </c>
      <c r="B59" s="3">
        <v>45818</v>
      </c>
      <c r="C59" t="s">
        <v>10</v>
      </c>
      <c r="D59" t="s">
        <v>43</v>
      </c>
      <c r="E59" s="4">
        <v>3832.39</v>
      </c>
      <c r="F59">
        <v>350</v>
      </c>
      <c r="G59">
        <v>100</v>
      </c>
      <c r="H59">
        <v>2025</v>
      </c>
      <c r="I59">
        <v>6</v>
      </c>
      <c r="J59" s="6">
        <v>0.28571428571428598</v>
      </c>
      <c r="K59" t="s">
        <v>312</v>
      </c>
      <c r="L59" s="4">
        <v>10.9496857142857</v>
      </c>
      <c r="M59" s="4">
        <v>38.323900000000002</v>
      </c>
    </row>
    <row r="60" spans="1:13" ht="14.5" x14ac:dyDescent="0.35">
      <c r="A60" t="s">
        <v>75</v>
      </c>
      <c r="B60" s="3">
        <v>45850</v>
      </c>
      <c r="C60" t="s">
        <v>76</v>
      </c>
      <c r="D60" t="s">
        <v>14</v>
      </c>
      <c r="E60" s="4">
        <v>3023.16</v>
      </c>
      <c r="F60">
        <v>749</v>
      </c>
      <c r="G60">
        <v>40</v>
      </c>
      <c r="H60">
        <v>2025</v>
      </c>
      <c r="I60">
        <v>7</v>
      </c>
      <c r="J60" s="6">
        <v>5.3404539385847799E-2</v>
      </c>
      <c r="K60" t="s">
        <v>315</v>
      </c>
      <c r="L60" s="4">
        <v>4.0362616822429898</v>
      </c>
      <c r="M60" s="4">
        <v>75.578999999999994</v>
      </c>
    </row>
    <row r="61" spans="1:13" ht="14.5" x14ac:dyDescent="0.35">
      <c r="A61" t="s">
        <v>77</v>
      </c>
      <c r="B61" s="3">
        <v>46176</v>
      </c>
      <c r="C61" t="s">
        <v>15</v>
      </c>
      <c r="D61" t="s">
        <v>17</v>
      </c>
      <c r="E61" s="4">
        <v>2869.4949999999999</v>
      </c>
      <c r="F61">
        <v>334</v>
      </c>
      <c r="G61">
        <v>61</v>
      </c>
      <c r="H61">
        <v>2026</v>
      </c>
      <c r="I61">
        <v>6</v>
      </c>
      <c r="J61" s="6">
        <v>0.18263473053892201</v>
      </c>
      <c r="K61" t="s">
        <v>315</v>
      </c>
      <c r="L61" s="4">
        <v>8.5913023952095795</v>
      </c>
      <c r="M61" s="4">
        <v>47.040901639344298</v>
      </c>
    </row>
    <row r="62" spans="1:13" ht="14.5" x14ac:dyDescent="0.35">
      <c r="A62" t="s">
        <v>78</v>
      </c>
      <c r="B62" s="3">
        <v>46155</v>
      </c>
      <c r="C62" t="s">
        <v>19</v>
      </c>
      <c r="D62" t="s">
        <v>35</v>
      </c>
      <c r="E62" s="4">
        <v>3245.87</v>
      </c>
      <c r="F62">
        <v>388</v>
      </c>
      <c r="G62">
        <v>68</v>
      </c>
      <c r="H62">
        <v>2026</v>
      </c>
      <c r="I62">
        <v>5</v>
      </c>
      <c r="J62" s="6">
        <v>0.17525773195876301</v>
      </c>
      <c r="K62" t="s">
        <v>315</v>
      </c>
      <c r="L62" s="4">
        <v>8.3656443298969094</v>
      </c>
      <c r="M62" s="4">
        <v>47.733382352941199</v>
      </c>
    </row>
    <row r="63" spans="1:13" ht="14.5" x14ac:dyDescent="0.35">
      <c r="A63" t="s">
        <v>79</v>
      </c>
      <c r="B63" s="3">
        <v>46219</v>
      </c>
      <c r="C63" t="s">
        <v>10</v>
      </c>
      <c r="D63" t="s">
        <v>35</v>
      </c>
      <c r="E63" s="4">
        <v>595.54</v>
      </c>
      <c r="F63">
        <v>107</v>
      </c>
      <c r="G63">
        <v>17</v>
      </c>
      <c r="H63">
        <v>2026</v>
      </c>
      <c r="I63">
        <v>7</v>
      </c>
      <c r="J63" s="6">
        <v>0.15887850467289699</v>
      </c>
      <c r="K63" t="s">
        <v>315</v>
      </c>
      <c r="L63" s="4">
        <v>5.5657943925233599</v>
      </c>
      <c r="M63" s="4">
        <v>35.031764705882402</v>
      </c>
    </row>
    <row r="64" spans="1:13" ht="14.5" x14ac:dyDescent="0.35">
      <c r="A64" t="s">
        <v>80</v>
      </c>
      <c r="B64" s="3">
        <v>45941</v>
      </c>
      <c r="C64" t="s">
        <v>10</v>
      </c>
      <c r="D64" t="s">
        <v>17</v>
      </c>
      <c r="E64" s="4">
        <v>4768.82</v>
      </c>
      <c r="F64">
        <v>674</v>
      </c>
      <c r="G64">
        <v>177</v>
      </c>
      <c r="H64">
        <v>2025</v>
      </c>
      <c r="I64">
        <v>10</v>
      </c>
      <c r="J64" s="6">
        <v>0.26261127596439199</v>
      </c>
      <c r="K64" t="s">
        <v>312</v>
      </c>
      <c r="L64" s="4">
        <v>7.0754005934718096</v>
      </c>
      <c r="M64" s="4">
        <v>26.9424858757062</v>
      </c>
    </row>
    <row r="65" spans="1:13" ht="14.5" x14ac:dyDescent="0.35">
      <c r="A65" t="s">
        <v>81</v>
      </c>
      <c r="B65" s="3">
        <v>45748</v>
      </c>
      <c r="C65" t="s">
        <v>24</v>
      </c>
      <c r="D65" t="s">
        <v>17</v>
      </c>
      <c r="E65" s="4">
        <v>2339.96</v>
      </c>
      <c r="F65">
        <v>426</v>
      </c>
      <c r="G65">
        <v>74</v>
      </c>
      <c r="H65">
        <v>2025</v>
      </c>
      <c r="I65">
        <v>4</v>
      </c>
      <c r="J65" s="6">
        <v>0.17370892018779299</v>
      </c>
      <c r="K65" t="s">
        <v>315</v>
      </c>
      <c r="L65" s="4">
        <v>5.4928638497652598</v>
      </c>
      <c r="M65" s="4">
        <v>31.621081081081101</v>
      </c>
    </row>
    <row r="66" spans="1:13" ht="14.5" x14ac:dyDescent="0.35">
      <c r="A66" t="s">
        <v>82</v>
      </c>
      <c r="B66" s="3">
        <v>45906</v>
      </c>
      <c r="C66" t="s">
        <v>15</v>
      </c>
      <c r="D66" t="s">
        <v>43</v>
      </c>
      <c r="E66" s="4">
        <v>3682.58</v>
      </c>
      <c r="F66">
        <v>426</v>
      </c>
      <c r="G66">
        <v>96</v>
      </c>
      <c r="H66">
        <v>2025</v>
      </c>
      <c r="I66">
        <v>9</v>
      </c>
      <c r="J66" s="6">
        <v>0.22535211267605601</v>
      </c>
      <c r="K66" t="s">
        <v>312</v>
      </c>
      <c r="L66" s="4">
        <v>8.6445539906103299</v>
      </c>
      <c r="M66" s="4">
        <v>38.360208333333297</v>
      </c>
    </row>
    <row r="67" spans="1:13" ht="14.5" x14ac:dyDescent="0.35">
      <c r="A67" t="s">
        <v>84</v>
      </c>
      <c r="B67" s="3">
        <v>45675</v>
      </c>
      <c r="C67" t="s">
        <v>15</v>
      </c>
      <c r="D67" t="s">
        <v>17</v>
      </c>
      <c r="E67" s="4">
        <v>2407.33</v>
      </c>
      <c r="F67">
        <v>422</v>
      </c>
      <c r="G67">
        <v>86</v>
      </c>
      <c r="H67">
        <v>2025</v>
      </c>
      <c r="I67">
        <v>1</v>
      </c>
      <c r="J67" s="6">
        <v>0.20379146919431301</v>
      </c>
      <c r="K67" t="s">
        <v>312</v>
      </c>
      <c r="L67" s="4">
        <v>5.7045734597156397</v>
      </c>
      <c r="M67" s="4">
        <v>27.992209302325598</v>
      </c>
    </row>
    <row r="68" spans="1:13" ht="14.5" x14ac:dyDescent="0.35">
      <c r="A68" t="s">
        <v>85</v>
      </c>
      <c r="B68" s="3">
        <v>45817</v>
      </c>
      <c r="C68" t="s">
        <v>15</v>
      </c>
      <c r="D68" t="s">
        <v>35</v>
      </c>
      <c r="E68" s="4">
        <v>3733.62</v>
      </c>
      <c r="F68">
        <v>520</v>
      </c>
      <c r="G68">
        <v>-4</v>
      </c>
      <c r="H68">
        <v>2025</v>
      </c>
      <c r="I68">
        <v>6</v>
      </c>
      <c r="J68" s="6">
        <v>-7.6923076923076901E-3</v>
      </c>
      <c r="K68" t="s">
        <v>315</v>
      </c>
      <c r="L68" s="4">
        <v>7.1800384615384596</v>
      </c>
      <c r="M68" s="4">
        <v>0</v>
      </c>
    </row>
    <row r="69" spans="1:13" ht="14.5" x14ac:dyDescent="0.35">
      <c r="A69" t="s">
        <v>86</v>
      </c>
      <c r="B69" s="3">
        <v>45745</v>
      </c>
      <c r="C69" t="s">
        <v>10</v>
      </c>
      <c r="D69" t="s">
        <v>11</v>
      </c>
      <c r="E69" s="4">
        <v>461.86</v>
      </c>
      <c r="F69">
        <v>57</v>
      </c>
      <c r="G69">
        <v>13</v>
      </c>
      <c r="H69">
        <v>2025</v>
      </c>
      <c r="I69">
        <v>3</v>
      </c>
      <c r="J69" s="6">
        <v>0.22807017543859701</v>
      </c>
      <c r="K69" t="s">
        <v>312</v>
      </c>
      <c r="L69" s="4">
        <v>8.10280701754386</v>
      </c>
      <c r="M69" s="4">
        <v>35.527692307692298</v>
      </c>
    </row>
    <row r="70" spans="1:13" ht="14.5" x14ac:dyDescent="0.35">
      <c r="A70" t="s">
        <v>87</v>
      </c>
      <c r="B70" s="3">
        <v>46003</v>
      </c>
      <c r="C70" t="s">
        <v>10</v>
      </c>
      <c r="D70" t="s">
        <v>11</v>
      </c>
      <c r="E70" s="4">
        <v>3032.49</v>
      </c>
      <c r="F70">
        <v>397</v>
      </c>
      <c r="G70">
        <v>98</v>
      </c>
      <c r="H70">
        <v>2025</v>
      </c>
      <c r="I70">
        <v>12</v>
      </c>
      <c r="J70" s="6">
        <v>0.246851385390428</v>
      </c>
      <c r="K70" t="s">
        <v>312</v>
      </c>
      <c r="L70" s="4">
        <v>7.6385138539042803</v>
      </c>
      <c r="M70" s="4">
        <v>30.943775510204102</v>
      </c>
    </row>
    <row r="71" spans="1:13" ht="14.5" x14ac:dyDescent="0.35">
      <c r="A71" t="s">
        <v>88</v>
      </c>
      <c r="B71" s="3">
        <v>45728</v>
      </c>
      <c r="C71" t="s">
        <v>76</v>
      </c>
      <c r="D71" t="s">
        <v>14</v>
      </c>
      <c r="E71" s="4">
        <v>1656.74</v>
      </c>
      <c r="F71">
        <v>182</v>
      </c>
      <c r="G71">
        <v>12</v>
      </c>
      <c r="H71">
        <v>2025</v>
      </c>
      <c r="I71">
        <v>3</v>
      </c>
      <c r="J71" s="6">
        <v>6.5934065934065894E-2</v>
      </c>
      <c r="K71" t="s">
        <v>315</v>
      </c>
      <c r="L71" s="4">
        <v>9.1029670329670296</v>
      </c>
      <c r="M71" s="4">
        <v>138.06166666666701</v>
      </c>
    </row>
    <row r="72" spans="1:13" ht="14.5" x14ac:dyDescent="0.35">
      <c r="A72" t="s">
        <v>89</v>
      </c>
      <c r="B72" s="3">
        <v>46017</v>
      </c>
      <c r="C72" t="s">
        <v>24</v>
      </c>
      <c r="D72" t="s">
        <v>17</v>
      </c>
      <c r="E72" s="4">
        <v>2655.84</v>
      </c>
      <c r="F72">
        <v>282</v>
      </c>
      <c r="G72">
        <v>45</v>
      </c>
      <c r="H72">
        <v>2025</v>
      </c>
      <c r="I72">
        <v>12</v>
      </c>
      <c r="J72" s="6">
        <v>0.159574468085106</v>
      </c>
      <c r="K72" t="s">
        <v>315</v>
      </c>
      <c r="L72" s="4">
        <v>9.4178723404255305</v>
      </c>
      <c r="M72" s="4">
        <v>59.018666666666697</v>
      </c>
    </row>
    <row r="73" spans="1:13" ht="14.5" x14ac:dyDescent="0.35">
      <c r="A73" t="s">
        <v>90</v>
      </c>
      <c r="B73" s="3">
        <v>45838</v>
      </c>
      <c r="C73" t="s">
        <v>24</v>
      </c>
      <c r="D73" t="s">
        <v>14</v>
      </c>
      <c r="E73" s="4">
        <v>2067.63</v>
      </c>
      <c r="F73">
        <v>379</v>
      </c>
      <c r="G73">
        <v>91</v>
      </c>
      <c r="H73">
        <v>2025</v>
      </c>
      <c r="I73">
        <v>6</v>
      </c>
      <c r="J73" s="6">
        <v>0.24010554089709801</v>
      </c>
      <c r="K73" t="s">
        <v>312</v>
      </c>
      <c r="L73" s="4">
        <v>5.4554881266490796</v>
      </c>
      <c r="M73" s="4">
        <v>22.721208791208799</v>
      </c>
    </row>
    <row r="74" spans="1:13" ht="14.5" x14ac:dyDescent="0.35">
      <c r="A74" t="s">
        <v>330</v>
      </c>
      <c r="B74" s="3">
        <v>45894</v>
      </c>
      <c r="C74" t="s">
        <v>24</v>
      </c>
      <c r="D74" t="s">
        <v>35</v>
      </c>
      <c r="E74" s="4">
        <v>2644.89</v>
      </c>
      <c r="F74">
        <v>432</v>
      </c>
      <c r="G74">
        <v>79</v>
      </c>
      <c r="H74">
        <v>2025</v>
      </c>
      <c r="I74">
        <v>8</v>
      </c>
      <c r="J74" s="6">
        <v>0.18287037037036999</v>
      </c>
      <c r="K74" t="s">
        <v>315</v>
      </c>
      <c r="L74" s="4">
        <v>6.1224305555555603</v>
      </c>
      <c r="M74" s="4">
        <v>33.479620253164597</v>
      </c>
    </row>
    <row r="75" spans="1:13" ht="14.5" x14ac:dyDescent="0.35">
      <c r="A75" t="s">
        <v>91</v>
      </c>
      <c r="B75" s="3">
        <v>45789</v>
      </c>
      <c r="C75" t="s">
        <v>15</v>
      </c>
      <c r="D75" t="s">
        <v>17</v>
      </c>
      <c r="E75" s="4">
        <v>3026.05</v>
      </c>
      <c r="F75">
        <v>589</v>
      </c>
      <c r="G75">
        <v>88</v>
      </c>
      <c r="H75">
        <v>2025</v>
      </c>
      <c r="I75">
        <v>5</v>
      </c>
      <c r="J75" s="6">
        <v>0.14940577249575601</v>
      </c>
      <c r="K75" t="s">
        <v>315</v>
      </c>
      <c r="L75" s="4">
        <v>5.1376061120543302</v>
      </c>
      <c r="M75" s="4">
        <v>34.3869318181818</v>
      </c>
    </row>
    <row r="76" spans="1:13" ht="14.5" x14ac:dyDescent="0.35">
      <c r="A76" t="s">
        <v>92</v>
      </c>
      <c r="B76" s="3">
        <v>46115</v>
      </c>
      <c r="C76" t="s">
        <v>10</v>
      </c>
      <c r="D76" t="s">
        <v>11</v>
      </c>
      <c r="E76" s="4">
        <v>2869.4949999999999</v>
      </c>
      <c r="F76">
        <v>471</v>
      </c>
      <c r="G76">
        <v>112</v>
      </c>
      <c r="H76">
        <v>2026</v>
      </c>
      <c r="I76">
        <v>4</v>
      </c>
      <c r="J76" s="6">
        <v>0.23779193205944801</v>
      </c>
      <c r="K76" t="s">
        <v>312</v>
      </c>
      <c r="L76" s="4">
        <v>6.0923460721868397</v>
      </c>
      <c r="M76" s="4">
        <v>25.620491071428599</v>
      </c>
    </row>
    <row r="77" spans="1:13" ht="14.5" x14ac:dyDescent="0.35">
      <c r="A77" t="s">
        <v>93</v>
      </c>
      <c r="B77" s="3">
        <v>45878</v>
      </c>
      <c r="C77" t="s">
        <v>76</v>
      </c>
      <c r="D77" t="s">
        <v>33</v>
      </c>
      <c r="E77" s="4">
        <v>10024</v>
      </c>
      <c r="F77">
        <v>220</v>
      </c>
      <c r="G77">
        <v>32</v>
      </c>
      <c r="H77">
        <v>2025</v>
      </c>
      <c r="I77">
        <v>8</v>
      </c>
      <c r="J77" s="6">
        <v>0.145454545454545</v>
      </c>
      <c r="K77" t="s">
        <v>315</v>
      </c>
      <c r="L77" s="4">
        <v>45.563636363636398</v>
      </c>
      <c r="M77" s="4">
        <v>313.25</v>
      </c>
    </row>
    <row r="78" spans="1:13" ht="14.5" x14ac:dyDescent="0.35">
      <c r="A78" t="s">
        <v>94</v>
      </c>
      <c r="B78" s="3">
        <v>45941</v>
      </c>
      <c r="C78" t="s">
        <v>19</v>
      </c>
      <c r="D78" t="s">
        <v>11</v>
      </c>
      <c r="E78" s="4">
        <v>4719.42</v>
      </c>
      <c r="F78">
        <v>1169</v>
      </c>
      <c r="G78">
        <v>210</v>
      </c>
      <c r="H78">
        <v>2025</v>
      </c>
      <c r="I78">
        <v>10</v>
      </c>
      <c r="J78" s="6">
        <v>0.179640718562874</v>
      </c>
      <c r="K78" t="s">
        <v>315</v>
      </c>
      <c r="L78" s="4">
        <v>4.03714285714286</v>
      </c>
      <c r="M78" s="4">
        <v>22.473428571428599</v>
      </c>
    </row>
    <row r="79" spans="1:13" ht="14.5" x14ac:dyDescent="0.35">
      <c r="A79" t="s">
        <v>95</v>
      </c>
      <c r="B79" s="3">
        <v>45715</v>
      </c>
      <c r="C79" t="s">
        <v>24</v>
      </c>
      <c r="D79" t="s">
        <v>35</v>
      </c>
      <c r="E79" s="4">
        <v>4203.28</v>
      </c>
      <c r="F79">
        <v>361</v>
      </c>
      <c r="G79">
        <v>72</v>
      </c>
      <c r="H79">
        <v>2025</v>
      </c>
      <c r="I79">
        <v>2</v>
      </c>
      <c r="J79" s="6">
        <v>0.19944598337950101</v>
      </c>
      <c r="K79" t="s">
        <v>312</v>
      </c>
      <c r="L79" s="4">
        <v>11.643434903047099</v>
      </c>
      <c r="M79" s="4">
        <v>58.378888888888902</v>
      </c>
    </row>
    <row r="80" spans="1:13" ht="14.5" x14ac:dyDescent="0.35">
      <c r="A80" t="s">
        <v>96</v>
      </c>
      <c r="B80" s="3">
        <v>46200</v>
      </c>
      <c r="C80" t="s">
        <v>10</v>
      </c>
      <c r="D80" t="s">
        <v>35</v>
      </c>
      <c r="E80" s="4">
        <v>464.54</v>
      </c>
      <c r="F80">
        <v>76</v>
      </c>
      <c r="G80">
        <v>20</v>
      </c>
      <c r="H80">
        <v>2026</v>
      </c>
      <c r="I80">
        <v>6</v>
      </c>
      <c r="J80" s="6">
        <v>0.26315789473684198</v>
      </c>
      <c r="K80" t="s">
        <v>312</v>
      </c>
      <c r="L80" s="4">
        <v>6.1123684210526301</v>
      </c>
      <c r="M80" s="4">
        <v>23.227</v>
      </c>
    </row>
    <row r="81" spans="1:13" ht="14.5" x14ac:dyDescent="0.35">
      <c r="A81" t="s">
        <v>97</v>
      </c>
      <c r="B81" s="3">
        <v>46103</v>
      </c>
      <c r="C81" t="s">
        <v>24</v>
      </c>
      <c r="D81" t="s">
        <v>11</v>
      </c>
      <c r="E81" s="4">
        <v>2869.4949999999999</v>
      </c>
      <c r="F81">
        <v>372</v>
      </c>
      <c r="G81">
        <v>78</v>
      </c>
      <c r="H81">
        <v>2026</v>
      </c>
      <c r="I81">
        <v>3</v>
      </c>
      <c r="J81" s="6">
        <v>0.209677419354839</v>
      </c>
      <c r="K81" t="s">
        <v>312</v>
      </c>
      <c r="L81" s="4">
        <v>7.7136962365591399</v>
      </c>
      <c r="M81" s="4">
        <v>36.788397435897402</v>
      </c>
    </row>
    <row r="82" spans="1:13" ht="14.5" x14ac:dyDescent="0.35">
      <c r="A82" t="s">
        <v>98</v>
      </c>
      <c r="B82" s="3">
        <v>46006</v>
      </c>
      <c r="C82" t="s">
        <v>33</v>
      </c>
      <c r="D82" t="s">
        <v>11</v>
      </c>
      <c r="E82" s="4">
        <v>2374.5100000000002</v>
      </c>
      <c r="F82">
        <v>537</v>
      </c>
      <c r="G82">
        <v>112</v>
      </c>
      <c r="H82">
        <v>2025</v>
      </c>
      <c r="I82">
        <v>12</v>
      </c>
      <c r="J82" s="6">
        <v>0.20856610800744901</v>
      </c>
      <c r="K82" t="s">
        <v>312</v>
      </c>
      <c r="L82" s="4">
        <v>4.4218063314711404</v>
      </c>
      <c r="M82" s="4">
        <v>21.2009821428572</v>
      </c>
    </row>
    <row r="83" spans="1:13" ht="14.5" x14ac:dyDescent="0.35">
      <c r="A83" t="s">
        <v>99</v>
      </c>
      <c r="B83" s="3">
        <v>45673</v>
      </c>
      <c r="C83" t="s">
        <v>24</v>
      </c>
      <c r="D83" t="s">
        <v>17</v>
      </c>
      <c r="E83" s="4">
        <v>1178.29</v>
      </c>
      <c r="F83">
        <v>174</v>
      </c>
      <c r="G83">
        <v>38</v>
      </c>
      <c r="H83">
        <v>2025</v>
      </c>
      <c r="I83">
        <v>1</v>
      </c>
      <c r="J83" s="6">
        <v>0.21839080459770099</v>
      </c>
      <c r="K83" t="s">
        <v>312</v>
      </c>
      <c r="L83" s="4">
        <v>6.7717816091953997</v>
      </c>
      <c r="M83" s="4">
        <v>31.0076315789474</v>
      </c>
    </row>
    <row r="84" spans="1:13" ht="14.5" x14ac:dyDescent="0.35">
      <c r="A84" t="s">
        <v>100</v>
      </c>
      <c r="B84" s="3">
        <v>45734</v>
      </c>
      <c r="C84" t="s">
        <v>19</v>
      </c>
      <c r="D84" t="s">
        <v>11</v>
      </c>
      <c r="E84" s="4">
        <v>1857.7</v>
      </c>
      <c r="F84">
        <v>309</v>
      </c>
      <c r="G84">
        <v>42</v>
      </c>
      <c r="H84">
        <v>2025</v>
      </c>
      <c r="I84">
        <v>3</v>
      </c>
      <c r="J84" s="6">
        <v>0.13592233009708701</v>
      </c>
      <c r="K84" t="s">
        <v>315</v>
      </c>
      <c r="L84" s="4">
        <v>6.0119741100323596</v>
      </c>
      <c r="M84" s="4">
        <v>44.230952380952402</v>
      </c>
    </row>
    <row r="85" spans="1:13" ht="14.5" x14ac:dyDescent="0.35">
      <c r="A85" t="s">
        <v>101</v>
      </c>
      <c r="B85" s="3">
        <v>46053</v>
      </c>
      <c r="C85" t="s">
        <v>33</v>
      </c>
      <c r="D85" t="s">
        <v>17</v>
      </c>
      <c r="E85" s="4">
        <v>3708.29</v>
      </c>
      <c r="F85">
        <v>637</v>
      </c>
      <c r="G85">
        <v>77</v>
      </c>
      <c r="H85">
        <v>2026</v>
      </c>
      <c r="I85">
        <v>1</v>
      </c>
      <c r="J85" s="6">
        <v>0.120879120879121</v>
      </c>
      <c r="K85" t="s">
        <v>315</v>
      </c>
      <c r="L85" s="4">
        <v>5.8214913657770797</v>
      </c>
      <c r="M85" s="4">
        <v>48.1596103896104</v>
      </c>
    </row>
    <row r="86" spans="1:13" ht="14.5" x14ac:dyDescent="0.35">
      <c r="A86" t="s">
        <v>102</v>
      </c>
      <c r="B86" s="3">
        <v>45910</v>
      </c>
      <c r="C86" t="s">
        <v>10</v>
      </c>
      <c r="D86" t="s">
        <v>11</v>
      </c>
      <c r="E86" s="4">
        <v>1245.05</v>
      </c>
      <c r="F86">
        <v>135</v>
      </c>
      <c r="G86">
        <v>28</v>
      </c>
      <c r="H86">
        <v>2025</v>
      </c>
      <c r="I86">
        <v>9</v>
      </c>
      <c r="J86" s="6">
        <v>0.20740740740740701</v>
      </c>
      <c r="K86" t="s">
        <v>312</v>
      </c>
      <c r="L86" s="4">
        <v>9.2225925925925907</v>
      </c>
      <c r="M86" s="4">
        <v>44.466071428571396</v>
      </c>
    </row>
    <row r="87" spans="1:13" ht="14.5" x14ac:dyDescent="0.35">
      <c r="A87" t="s">
        <v>103</v>
      </c>
      <c r="B87" s="3">
        <v>45744</v>
      </c>
      <c r="C87" t="s">
        <v>15</v>
      </c>
      <c r="D87" t="s">
        <v>21</v>
      </c>
      <c r="E87" s="4">
        <v>2426.4499999999998</v>
      </c>
      <c r="F87">
        <v>221</v>
      </c>
      <c r="G87">
        <v>54</v>
      </c>
      <c r="H87">
        <v>2025</v>
      </c>
      <c r="I87">
        <v>3</v>
      </c>
      <c r="J87" s="6">
        <v>0.24434389140271501</v>
      </c>
      <c r="K87" t="s">
        <v>312</v>
      </c>
      <c r="L87" s="4">
        <v>10.979411764705899</v>
      </c>
      <c r="M87" s="4">
        <v>44.934259259259299</v>
      </c>
    </row>
    <row r="88" spans="1:13" ht="14.5" x14ac:dyDescent="0.35">
      <c r="A88" t="s">
        <v>104</v>
      </c>
      <c r="B88" s="3">
        <v>46063</v>
      </c>
      <c r="C88" t="s">
        <v>76</v>
      </c>
      <c r="D88" t="s">
        <v>14</v>
      </c>
      <c r="E88" s="4">
        <v>1395.38</v>
      </c>
      <c r="F88">
        <v>115</v>
      </c>
      <c r="G88">
        <v>14</v>
      </c>
      <c r="H88">
        <v>2026</v>
      </c>
      <c r="I88">
        <v>2</v>
      </c>
      <c r="J88" s="6">
        <v>0.121739130434783</v>
      </c>
      <c r="K88" t="s">
        <v>315</v>
      </c>
      <c r="L88" s="4">
        <v>12.133739130434799</v>
      </c>
      <c r="M88" s="4">
        <v>99.67</v>
      </c>
    </row>
    <row r="89" spans="1:13" ht="14.5" x14ac:dyDescent="0.35">
      <c r="A89" t="s">
        <v>105</v>
      </c>
      <c r="B89" s="3">
        <v>46179</v>
      </c>
      <c r="C89" t="s">
        <v>24</v>
      </c>
      <c r="D89" t="s">
        <v>17</v>
      </c>
      <c r="E89" s="4">
        <v>2959.61</v>
      </c>
      <c r="F89">
        <v>393</v>
      </c>
      <c r="G89">
        <v>75</v>
      </c>
      <c r="H89">
        <v>2026</v>
      </c>
      <c r="I89">
        <v>6</v>
      </c>
      <c r="J89" s="6">
        <v>0.19083969465648901</v>
      </c>
      <c r="K89" t="s">
        <v>312</v>
      </c>
      <c r="L89" s="4">
        <v>7.5308142493638703</v>
      </c>
      <c r="M89" s="4">
        <v>39.461466666666702</v>
      </c>
    </row>
    <row r="90" spans="1:13" ht="14.5" x14ac:dyDescent="0.35">
      <c r="A90" t="s">
        <v>106</v>
      </c>
      <c r="B90" s="3">
        <v>46232</v>
      </c>
      <c r="C90" t="s">
        <v>19</v>
      </c>
      <c r="D90" t="s">
        <v>21</v>
      </c>
      <c r="E90" s="4">
        <v>3750.07</v>
      </c>
      <c r="F90">
        <v>877</v>
      </c>
      <c r="G90">
        <v>221</v>
      </c>
      <c r="H90">
        <v>2026</v>
      </c>
      <c r="I90">
        <v>7</v>
      </c>
      <c r="J90" s="6">
        <v>0.251995438996579</v>
      </c>
      <c r="K90" t="s">
        <v>312</v>
      </c>
      <c r="L90" s="4">
        <v>4.2760205245153902</v>
      </c>
      <c r="M90" s="4">
        <v>16.968642533936698</v>
      </c>
    </row>
    <row r="91" spans="1:13" ht="14.5" x14ac:dyDescent="0.35">
      <c r="A91" t="s">
        <v>107</v>
      </c>
      <c r="B91" s="3">
        <v>46101</v>
      </c>
      <c r="C91" t="s">
        <v>76</v>
      </c>
      <c r="D91" t="s">
        <v>11</v>
      </c>
      <c r="E91" s="4">
        <v>3169.93</v>
      </c>
      <c r="F91">
        <v>615</v>
      </c>
      <c r="G91">
        <v>62</v>
      </c>
      <c r="H91">
        <v>2026</v>
      </c>
      <c r="I91">
        <v>3</v>
      </c>
      <c r="J91" s="6">
        <v>0.100813008130081</v>
      </c>
      <c r="K91" t="s">
        <v>315</v>
      </c>
      <c r="L91" s="4">
        <v>5.15435772357724</v>
      </c>
      <c r="M91" s="4">
        <v>51.127903225806499</v>
      </c>
    </row>
    <row r="92" spans="1:13" ht="14.5" x14ac:dyDescent="0.35">
      <c r="A92" t="s">
        <v>108</v>
      </c>
      <c r="B92" s="3">
        <v>45870</v>
      </c>
      <c r="C92" t="s">
        <v>15</v>
      </c>
      <c r="D92" t="s">
        <v>17</v>
      </c>
      <c r="E92" s="4">
        <v>430.74</v>
      </c>
      <c r="F92">
        <v>79</v>
      </c>
      <c r="G92">
        <v>12</v>
      </c>
      <c r="H92">
        <v>2025</v>
      </c>
      <c r="I92">
        <v>8</v>
      </c>
      <c r="J92" s="6">
        <v>0.151898734177215</v>
      </c>
      <c r="K92" t="s">
        <v>315</v>
      </c>
      <c r="L92" s="4">
        <v>5.4524050632911401</v>
      </c>
      <c r="M92" s="4">
        <v>35.895000000000003</v>
      </c>
    </row>
    <row r="93" spans="1:13" ht="14.5" x14ac:dyDescent="0.35">
      <c r="A93" t="s">
        <v>109</v>
      </c>
      <c r="B93" s="3">
        <v>46164</v>
      </c>
      <c r="C93" t="s">
        <v>10</v>
      </c>
      <c r="D93" t="s">
        <v>35</v>
      </c>
      <c r="E93" s="4">
        <v>1524.32</v>
      </c>
      <c r="F93">
        <v>371</v>
      </c>
      <c r="G93">
        <v>104</v>
      </c>
      <c r="H93">
        <v>2026</v>
      </c>
      <c r="I93">
        <v>5</v>
      </c>
      <c r="J93" s="6">
        <v>0.280323450134771</v>
      </c>
      <c r="K93" t="s">
        <v>312</v>
      </c>
      <c r="L93" s="4">
        <v>4.1086792452830201</v>
      </c>
      <c r="M93" s="4">
        <v>14.6569230769231</v>
      </c>
    </row>
    <row r="94" spans="1:13" ht="14.5" x14ac:dyDescent="0.35">
      <c r="A94" t="s">
        <v>110</v>
      </c>
      <c r="B94" s="3">
        <v>46176</v>
      </c>
      <c r="C94" t="s">
        <v>24</v>
      </c>
      <c r="D94" t="s">
        <v>43</v>
      </c>
      <c r="E94" s="4">
        <v>2937.63</v>
      </c>
      <c r="F94">
        <v>426</v>
      </c>
      <c r="G94">
        <v>154</v>
      </c>
      <c r="H94">
        <v>2026</v>
      </c>
      <c r="I94">
        <v>6</v>
      </c>
      <c r="J94" s="6">
        <v>0.36150234741783999</v>
      </c>
      <c r="K94" t="s">
        <v>312</v>
      </c>
      <c r="L94" s="4">
        <v>6.8958450704225402</v>
      </c>
      <c r="M94" s="4">
        <v>19.0755194805195</v>
      </c>
    </row>
    <row r="95" spans="1:13" ht="14.5" x14ac:dyDescent="0.35">
      <c r="A95" t="s">
        <v>111</v>
      </c>
      <c r="B95" s="3">
        <v>45906</v>
      </c>
      <c r="C95" t="s">
        <v>24</v>
      </c>
      <c r="D95" t="s">
        <v>43</v>
      </c>
      <c r="E95" s="4">
        <v>1901.11</v>
      </c>
      <c r="F95">
        <v>362</v>
      </c>
      <c r="G95">
        <v>73</v>
      </c>
      <c r="H95">
        <v>2025</v>
      </c>
      <c r="I95">
        <v>9</v>
      </c>
      <c r="J95" s="6">
        <v>0.20165745856353601</v>
      </c>
      <c r="K95" t="s">
        <v>312</v>
      </c>
      <c r="L95" s="4">
        <v>5.25168508287293</v>
      </c>
      <c r="M95" s="4">
        <v>26.042602739726</v>
      </c>
    </row>
    <row r="96" spans="1:13" ht="14.5" x14ac:dyDescent="0.35">
      <c r="A96" t="s">
        <v>112</v>
      </c>
      <c r="B96" s="3">
        <v>45834</v>
      </c>
      <c r="C96" t="s">
        <v>19</v>
      </c>
      <c r="D96" t="s">
        <v>11</v>
      </c>
      <c r="E96" s="4">
        <v>2155.5</v>
      </c>
      <c r="F96">
        <v>224</v>
      </c>
      <c r="G96">
        <v>44</v>
      </c>
      <c r="H96">
        <v>2025</v>
      </c>
      <c r="I96">
        <v>6</v>
      </c>
      <c r="J96" s="6">
        <v>0.19642857142857101</v>
      </c>
      <c r="K96" t="s">
        <v>312</v>
      </c>
      <c r="L96" s="4">
        <v>9.6227678571428594</v>
      </c>
      <c r="M96" s="4">
        <v>48.988636363636402</v>
      </c>
    </row>
    <row r="97" spans="1:13" ht="14.5" x14ac:dyDescent="0.35">
      <c r="A97" t="s">
        <v>113</v>
      </c>
      <c r="B97" s="3">
        <v>45949</v>
      </c>
      <c r="C97" t="s">
        <v>19</v>
      </c>
      <c r="D97" t="s">
        <v>35</v>
      </c>
      <c r="E97" s="4">
        <v>279</v>
      </c>
      <c r="F97">
        <v>43</v>
      </c>
      <c r="G97">
        <v>8</v>
      </c>
      <c r="H97">
        <v>2025</v>
      </c>
      <c r="I97">
        <v>10</v>
      </c>
      <c r="J97" s="6">
        <v>0.186046511627907</v>
      </c>
      <c r="K97" t="s">
        <v>315</v>
      </c>
      <c r="L97" s="4">
        <v>6.4883720930232602</v>
      </c>
      <c r="M97" s="4">
        <v>34.875</v>
      </c>
    </row>
    <row r="98" spans="1:13" ht="14.5" x14ac:dyDescent="0.35">
      <c r="A98" t="s">
        <v>114</v>
      </c>
      <c r="B98" s="3">
        <v>45767</v>
      </c>
      <c r="C98" t="s">
        <v>15</v>
      </c>
      <c r="D98" t="s">
        <v>43</v>
      </c>
      <c r="E98" s="4">
        <v>617.57000000000005</v>
      </c>
      <c r="F98">
        <v>96</v>
      </c>
      <c r="G98">
        <v>17</v>
      </c>
      <c r="H98">
        <v>2025</v>
      </c>
      <c r="I98">
        <v>4</v>
      </c>
      <c r="J98" s="6">
        <v>0.17708333333333301</v>
      </c>
      <c r="K98" t="s">
        <v>315</v>
      </c>
      <c r="L98" s="4">
        <v>6.4330208333333303</v>
      </c>
      <c r="M98" s="4">
        <v>36.327647058823501</v>
      </c>
    </row>
    <row r="99" spans="1:13" ht="14.5" x14ac:dyDescent="0.35">
      <c r="A99" t="s">
        <v>116</v>
      </c>
      <c r="B99" s="3">
        <v>45878</v>
      </c>
      <c r="C99" t="s">
        <v>24</v>
      </c>
      <c r="D99" t="s">
        <v>11</v>
      </c>
      <c r="E99" s="4">
        <v>1552.76</v>
      </c>
      <c r="F99">
        <v>314</v>
      </c>
      <c r="G99">
        <v>39</v>
      </c>
      <c r="H99">
        <v>2025</v>
      </c>
      <c r="I99">
        <v>8</v>
      </c>
      <c r="J99" s="6">
        <v>0.124203821656051</v>
      </c>
      <c r="K99" t="s">
        <v>315</v>
      </c>
      <c r="L99" s="4">
        <v>4.9450955414012698</v>
      </c>
      <c r="M99" s="4">
        <v>39.814358974359003</v>
      </c>
    </row>
    <row r="100" spans="1:13" ht="14.5" x14ac:dyDescent="0.35">
      <c r="A100" t="s">
        <v>117</v>
      </c>
      <c r="B100" s="3">
        <v>45701</v>
      </c>
      <c r="C100" t="s">
        <v>15</v>
      </c>
      <c r="D100" t="s">
        <v>17</v>
      </c>
      <c r="E100" s="4">
        <v>4354.53</v>
      </c>
      <c r="F100">
        <v>426</v>
      </c>
      <c r="G100">
        <v>48</v>
      </c>
      <c r="H100">
        <v>2025</v>
      </c>
      <c r="I100">
        <v>2</v>
      </c>
      <c r="J100" s="6">
        <v>0.11267605633802801</v>
      </c>
      <c r="K100" t="s">
        <v>315</v>
      </c>
      <c r="L100" s="4">
        <v>10.2219014084507</v>
      </c>
      <c r="M100" s="4">
        <v>90.719374999999999</v>
      </c>
    </row>
    <row r="101" spans="1:13" ht="14.5" x14ac:dyDescent="0.35">
      <c r="A101" t="s">
        <v>118</v>
      </c>
      <c r="B101" s="3">
        <v>45870</v>
      </c>
      <c r="C101" t="s">
        <v>10</v>
      </c>
      <c r="D101" t="s">
        <v>14</v>
      </c>
      <c r="E101" s="4">
        <v>4824.93</v>
      </c>
      <c r="F101">
        <v>437</v>
      </c>
      <c r="G101">
        <v>122</v>
      </c>
      <c r="H101">
        <v>2025</v>
      </c>
      <c r="I101">
        <v>8</v>
      </c>
      <c r="J101" s="6">
        <v>0.27917620137299798</v>
      </c>
      <c r="K101" t="s">
        <v>312</v>
      </c>
      <c r="L101" s="4">
        <v>11.041029748283799</v>
      </c>
      <c r="M101" s="4">
        <v>39.548606557377099</v>
      </c>
    </row>
    <row r="102" spans="1:13" ht="14.5" x14ac:dyDescent="0.35">
      <c r="A102" t="s">
        <v>119</v>
      </c>
      <c r="B102" s="3">
        <v>45857</v>
      </c>
      <c r="C102" t="s">
        <v>15</v>
      </c>
      <c r="D102" t="s">
        <v>11</v>
      </c>
      <c r="E102" s="4">
        <v>3735.12</v>
      </c>
      <c r="F102">
        <v>887</v>
      </c>
      <c r="G102">
        <v>149</v>
      </c>
      <c r="H102">
        <v>2025</v>
      </c>
      <c r="I102">
        <v>7</v>
      </c>
      <c r="J102" s="6">
        <v>0.16798196166854601</v>
      </c>
      <c r="K102" t="s">
        <v>315</v>
      </c>
      <c r="L102" s="4">
        <v>4.21095828635851</v>
      </c>
      <c r="M102" s="4">
        <v>25.0679194630873</v>
      </c>
    </row>
    <row r="103" spans="1:13" ht="14.5" x14ac:dyDescent="0.35">
      <c r="A103" t="s">
        <v>120</v>
      </c>
      <c r="B103" s="3">
        <v>45925</v>
      </c>
      <c r="C103" t="s">
        <v>33</v>
      </c>
      <c r="D103" t="s">
        <v>17</v>
      </c>
      <c r="E103" s="4">
        <v>442.02</v>
      </c>
      <c r="F103">
        <v>71</v>
      </c>
      <c r="G103">
        <v>19</v>
      </c>
      <c r="H103">
        <v>2025</v>
      </c>
      <c r="I103">
        <v>9</v>
      </c>
      <c r="J103" s="6">
        <v>0.26760563380281699</v>
      </c>
      <c r="K103" t="s">
        <v>312</v>
      </c>
      <c r="L103" s="4">
        <v>6.2256338028169003</v>
      </c>
      <c r="M103" s="4">
        <v>23.2642105263158</v>
      </c>
    </row>
    <row r="104" spans="1:13" ht="14.5" x14ac:dyDescent="0.35">
      <c r="A104" t="s">
        <v>121</v>
      </c>
      <c r="B104" s="3">
        <v>45916</v>
      </c>
      <c r="C104" t="s">
        <v>24</v>
      </c>
      <c r="D104" t="s">
        <v>17</v>
      </c>
      <c r="E104" s="4">
        <v>4603.4399999999996</v>
      </c>
      <c r="F104">
        <v>1005</v>
      </c>
      <c r="G104">
        <v>178</v>
      </c>
      <c r="H104">
        <v>2025</v>
      </c>
      <c r="I104">
        <v>9</v>
      </c>
      <c r="J104" s="6">
        <v>0.177114427860697</v>
      </c>
      <c r="K104" t="s">
        <v>315</v>
      </c>
      <c r="L104" s="4">
        <v>4.5805373134328402</v>
      </c>
      <c r="M104" s="4">
        <v>25.862022471910102</v>
      </c>
    </row>
    <row r="105" spans="1:13" ht="14.5" x14ac:dyDescent="0.35">
      <c r="A105" t="s">
        <v>122</v>
      </c>
      <c r="B105" s="3">
        <v>46049</v>
      </c>
      <c r="C105" t="s">
        <v>24</v>
      </c>
      <c r="D105" t="s">
        <v>11</v>
      </c>
      <c r="E105" s="4">
        <v>1824.13</v>
      </c>
      <c r="F105">
        <v>224</v>
      </c>
      <c r="G105">
        <v>73</v>
      </c>
      <c r="H105">
        <v>2026</v>
      </c>
      <c r="I105">
        <v>1</v>
      </c>
      <c r="J105" s="6">
        <v>0.32589285714285698</v>
      </c>
      <c r="K105" t="s">
        <v>312</v>
      </c>
      <c r="L105" s="4">
        <v>8.1434374999999992</v>
      </c>
      <c r="M105" s="4">
        <v>24.988082191780801</v>
      </c>
    </row>
    <row r="106" spans="1:13" ht="14.5" x14ac:dyDescent="0.35">
      <c r="A106" t="s">
        <v>123</v>
      </c>
      <c r="B106" s="3">
        <v>46006</v>
      </c>
      <c r="C106" t="s">
        <v>19</v>
      </c>
      <c r="D106" t="s">
        <v>43</v>
      </c>
      <c r="E106" s="4">
        <v>4886.1400000000003</v>
      </c>
      <c r="F106">
        <v>551</v>
      </c>
      <c r="G106">
        <v>79</v>
      </c>
      <c r="H106">
        <v>2025</v>
      </c>
      <c r="I106">
        <v>12</v>
      </c>
      <c r="J106" s="6">
        <v>0.143375680580762</v>
      </c>
      <c r="K106" t="s">
        <v>315</v>
      </c>
      <c r="L106" s="4">
        <v>8.8677676950998201</v>
      </c>
      <c r="M106" s="4">
        <v>61.849873417721497</v>
      </c>
    </row>
    <row r="107" spans="1:13" ht="14.5" x14ac:dyDescent="0.35">
      <c r="A107" t="s">
        <v>124</v>
      </c>
      <c r="B107" s="3">
        <v>45784</v>
      </c>
      <c r="C107" t="s">
        <v>15</v>
      </c>
      <c r="D107" t="s">
        <v>35</v>
      </c>
      <c r="E107" s="4">
        <v>2869.4949999999999</v>
      </c>
      <c r="F107">
        <v>459</v>
      </c>
      <c r="G107">
        <v>82</v>
      </c>
      <c r="H107">
        <v>2025</v>
      </c>
      <c r="I107">
        <v>5</v>
      </c>
      <c r="J107" s="6">
        <v>0.17864923747276701</v>
      </c>
      <c r="K107" t="s">
        <v>315</v>
      </c>
      <c r="L107" s="4">
        <v>6.2516230936819204</v>
      </c>
      <c r="M107" s="4">
        <v>34.993841463414597</v>
      </c>
    </row>
    <row r="108" spans="1:13" ht="14.5" x14ac:dyDescent="0.35">
      <c r="A108" t="s">
        <v>125</v>
      </c>
      <c r="B108" s="3">
        <v>45874</v>
      </c>
      <c r="C108" t="s">
        <v>76</v>
      </c>
      <c r="D108" t="s">
        <v>11</v>
      </c>
      <c r="E108" s="4">
        <v>4259.53</v>
      </c>
      <c r="F108">
        <v>393</v>
      </c>
      <c r="G108">
        <v>45</v>
      </c>
      <c r="H108">
        <v>2025</v>
      </c>
      <c r="I108">
        <v>8</v>
      </c>
      <c r="J108" s="6">
        <v>0.114503816793893</v>
      </c>
      <c r="K108" t="s">
        <v>315</v>
      </c>
      <c r="L108" s="4">
        <v>10.8384987277354</v>
      </c>
      <c r="M108" s="4">
        <v>94.656222222222198</v>
      </c>
    </row>
    <row r="109" spans="1:13" ht="14.5" x14ac:dyDescent="0.35">
      <c r="A109" t="s">
        <v>126</v>
      </c>
      <c r="B109" s="3">
        <v>45869</v>
      </c>
      <c r="C109" t="s">
        <v>33</v>
      </c>
      <c r="D109" t="s">
        <v>11</v>
      </c>
      <c r="E109" s="4">
        <v>1534.26</v>
      </c>
      <c r="F109">
        <v>281</v>
      </c>
      <c r="G109">
        <v>30</v>
      </c>
      <c r="H109">
        <v>2025</v>
      </c>
      <c r="I109">
        <v>7</v>
      </c>
      <c r="J109" s="6">
        <v>0.106761565836299</v>
      </c>
      <c r="K109" t="s">
        <v>315</v>
      </c>
      <c r="L109" s="4">
        <v>5.46</v>
      </c>
      <c r="M109" s="4">
        <v>51.142000000000003</v>
      </c>
    </row>
    <row r="110" spans="1:13" ht="14.5" x14ac:dyDescent="0.35">
      <c r="A110" t="s">
        <v>331</v>
      </c>
      <c r="B110" s="3">
        <v>45803</v>
      </c>
      <c r="C110" t="s">
        <v>76</v>
      </c>
      <c r="D110" t="s">
        <v>43</v>
      </c>
      <c r="E110" s="4">
        <v>3315.37</v>
      </c>
      <c r="F110">
        <v>691</v>
      </c>
      <c r="G110">
        <v>13</v>
      </c>
      <c r="H110">
        <v>2025</v>
      </c>
      <c r="I110">
        <v>5</v>
      </c>
      <c r="J110" s="6">
        <v>1.8813314037626601E-2</v>
      </c>
      <c r="K110" t="s">
        <v>315</v>
      </c>
      <c r="L110" s="4">
        <v>4.7979305354558601</v>
      </c>
      <c r="M110" s="4">
        <v>255.02846153846201</v>
      </c>
    </row>
    <row r="111" spans="1:13" ht="14.5" x14ac:dyDescent="0.35">
      <c r="A111" t="s">
        <v>332</v>
      </c>
      <c r="B111" s="3">
        <v>46039</v>
      </c>
      <c r="C111" t="s">
        <v>15</v>
      </c>
      <c r="D111" t="s">
        <v>11</v>
      </c>
      <c r="E111" s="4">
        <v>811.21</v>
      </c>
      <c r="F111">
        <v>91</v>
      </c>
      <c r="G111">
        <v>19</v>
      </c>
      <c r="H111">
        <v>2026</v>
      </c>
      <c r="I111">
        <v>1</v>
      </c>
      <c r="J111" s="6">
        <v>0.20879120879120899</v>
      </c>
      <c r="K111" t="s">
        <v>312</v>
      </c>
      <c r="L111" s="4">
        <v>8.9143956043956099</v>
      </c>
      <c r="M111" s="4">
        <v>42.695263157894701</v>
      </c>
    </row>
    <row r="112" spans="1:13" ht="14.5" x14ac:dyDescent="0.35">
      <c r="A112" t="s">
        <v>127</v>
      </c>
      <c r="B112" s="3">
        <v>46126</v>
      </c>
      <c r="C112" t="s">
        <v>15</v>
      </c>
      <c r="D112" t="s">
        <v>11</v>
      </c>
      <c r="E112" s="4">
        <v>4609.66</v>
      </c>
      <c r="F112">
        <v>426</v>
      </c>
      <c r="G112">
        <v>121</v>
      </c>
      <c r="H112">
        <v>2026</v>
      </c>
      <c r="I112">
        <v>4</v>
      </c>
      <c r="J112" s="6">
        <v>0.284037558685446</v>
      </c>
      <c r="K112" t="s">
        <v>312</v>
      </c>
      <c r="L112" s="4">
        <v>10.8207981220657</v>
      </c>
      <c r="M112" s="4">
        <v>38.096363636363598</v>
      </c>
    </row>
    <row r="113" spans="1:13" ht="14.5" x14ac:dyDescent="0.35">
      <c r="A113" t="s">
        <v>128</v>
      </c>
      <c r="B113" s="3">
        <v>46174</v>
      </c>
      <c r="C113" t="s">
        <v>15</v>
      </c>
      <c r="D113" t="s">
        <v>21</v>
      </c>
      <c r="E113" s="4">
        <v>3759.67</v>
      </c>
      <c r="F113">
        <v>516</v>
      </c>
      <c r="G113">
        <v>46</v>
      </c>
      <c r="H113">
        <v>2026</v>
      </c>
      <c r="I113">
        <v>6</v>
      </c>
      <c r="J113" s="6">
        <v>8.9147286821705404E-2</v>
      </c>
      <c r="K113" t="s">
        <v>315</v>
      </c>
      <c r="L113" s="4">
        <v>7.2861821705426397</v>
      </c>
      <c r="M113" s="4">
        <v>81.731956521739093</v>
      </c>
    </row>
    <row r="114" spans="1:13" ht="14.5" x14ac:dyDescent="0.35">
      <c r="A114" t="s">
        <v>129</v>
      </c>
      <c r="B114" s="3">
        <v>45813</v>
      </c>
      <c r="C114" t="s">
        <v>19</v>
      </c>
      <c r="D114" t="s">
        <v>21</v>
      </c>
      <c r="E114" s="4">
        <v>3053.83</v>
      </c>
      <c r="F114">
        <v>332</v>
      </c>
      <c r="G114">
        <v>72</v>
      </c>
      <c r="H114">
        <v>2025</v>
      </c>
      <c r="I114">
        <v>6</v>
      </c>
      <c r="J114" s="6">
        <v>0.21686746987951799</v>
      </c>
      <c r="K114" t="s">
        <v>312</v>
      </c>
      <c r="L114" s="4">
        <v>9.1982831325301202</v>
      </c>
      <c r="M114" s="4">
        <v>42.4143055555556</v>
      </c>
    </row>
    <row r="115" spans="1:13" ht="14.5" x14ac:dyDescent="0.35">
      <c r="A115" t="s">
        <v>130</v>
      </c>
      <c r="B115" s="3">
        <v>45710</v>
      </c>
      <c r="C115" t="s">
        <v>15</v>
      </c>
      <c r="D115" t="s">
        <v>43</v>
      </c>
      <c r="E115" s="4">
        <v>3697.57</v>
      </c>
      <c r="F115">
        <v>344</v>
      </c>
      <c r="G115">
        <v>60</v>
      </c>
      <c r="H115">
        <v>2025</v>
      </c>
      <c r="I115">
        <v>2</v>
      </c>
      <c r="J115" s="6">
        <v>0.17441860465116299</v>
      </c>
      <c r="K115" t="s">
        <v>315</v>
      </c>
      <c r="L115" s="4">
        <v>10.748749999999999</v>
      </c>
      <c r="M115" s="4">
        <v>61.626166666666698</v>
      </c>
    </row>
    <row r="116" spans="1:13" ht="14.5" x14ac:dyDescent="0.35">
      <c r="A116" t="s">
        <v>131</v>
      </c>
      <c r="B116" s="3">
        <v>45695</v>
      </c>
      <c r="C116" t="s">
        <v>15</v>
      </c>
      <c r="D116" t="s">
        <v>11</v>
      </c>
      <c r="E116" s="4">
        <v>466.08</v>
      </c>
      <c r="F116">
        <v>54</v>
      </c>
      <c r="G116">
        <v>9</v>
      </c>
      <c r="H116">
        <v>2025</v>
      </c>
      <c r="I116">
        <v>2</v>
      </c>
      <c r="J116" s="6">
        <v>0.16666666666666699</v>
      </c>
      <c r="K116" t="s">
        <v>315</v>
      </c>
      <c r="L116" s="4">
        <v>8.6311111111111103</v>
      </c>
      <c r="M116" s="4">
        <v>51.786666666666697</v>
      </c>
    </row>
    <row r="117" spans="1:13" ht="14.5" x14ac:dyDescent="0.35">
      <c r="A117" t="s">
        <v>132</v>
      </c>
      <c r="B117" s="3">
        <v>45918</v>
      </c>
      <c r="C117" t="s">
        <v>10</v>
      </c>
      <c r="D117" t="s">
        <v>11</v>
      </c>
      <c r="E117" s="4">
        <v>3032.39</v>
      </c>
      <c r="F117">
        <v>654</v>
      </c>
      <c r="G117">
        <v>187</v>
      </c>
      <c r="H117">
        <v>2025</v>
      </c>
      <c r="I117">
        <v>9</v>
      </c>
      <c r="J117" s="6">
        <v>0.28593272171253797</v>
      </c>
      <c r="K117" t="s">
        <v>312</v>
      </c>
      <c r="L117" s="4">
        <v>4.6366819571865499</v>
      </c>
      <c r="M117" s="4">
        <v>16.215989304812801</v>
      </c>
    </row>
    <row r="118" spans="1:13" ht="14.5" x14ac:dyDescent="0.35">
      <c r="A118" t="s">
        <v>133</v>
      </c>
      <c r="B118" s="3">
        <v>45941</v>
      </c>
      <c r="C118" t="s">
        <v>10</v>
      </c>
      <c r="D118" t="s">
        <v>43</v>
      </c>
      <c r="E118" s="4">
        <v>1808.06</v>
      </c>
      <c r="F118">
        <v>301</v>
      </c>
      <c r="G118">
        <v>83</v>
      </c>
      <c r="H118">
        <v>2025</v>
      </c>
      <c r="I118">
        <v>10</v>
      </c>
      <c r="J118" s="6">
        <v>0.27574750830564798</v>
      </c>
      <c r="K118" t="s">
        <v>312</v>
      </c>
      <c r="L118" s="4">
        <v>6.0068438538205999</v>
      </c>
      <c r="M118" s="4">
        <v>21.783855421686798</v>
      </c>
    </row>
    <row r="119" spans="1:13" ht="14.5" x14ac:dyDescent="0.35">
      <c r="A119" t="s">
        <v>134</v>
      </c>
      <c r="B119" s="3">
        <v>46000</v>
      </c>
      <c r="C119" t="s">
        <v>76</v>
      </c>
      <c r="D119" t="s">
        <v>14</v>
      </c>
      <c r="E119" s="4">
        <v>4596.24</v>
      </c>
      <c r="F119">
        <v>446</v>
      </c>
      <c r="G119">
        <v>33</v>
      </c>
      <c r="H119">
        <v>2025</v>
      </c>
      <c r="I119">
        <v>12</v>
      </c>
      <c r="J119" s="6">
        <v>7.3991031390134507E-2</v>
      </c>
      <c r="K119" t="s">
        <v>315</v>
      </c>
      <c r="L119" s="4">
        <v>10.305470852017899</v>
      </c>
      <c r="M119" s="4">
        <v>139.28</v>
      </c>
    </row>
    <row r="120" spans="1:13" ht="14.5" x14ac:dyDescent="0.35">
      <c r="A120" t="s">
        <v>135</v>
      </c>
      <c r="B120" s="3">
        <v>45952</v>
      </c>
      <c r="C120" t="s">
        <v>15</v>
      </c>
      <c r="D120" t="s">
        <v>14</v>
      </c>
      <c r="E120" s="4">
        <v>2869.4949999999999</v>
      </c>
      <c r="F120">
        <v>887</v>
      </c>
      <c r="G120">
        <v>92</v>
      </c>
      <c r="H120">
        <v>2025</v>
      </c>
      <c r="I120">
        <v>10</v>
      </c>
      <c r="J120" s="6">
        <v>0.103720405862458</v>
      </c>
      <c r="K120" t="s">
        <v>315</v>
      </c>
      <c r="L120" s="4">
        <v>3.2350563697857999</v>
      </c>
      <c r="M120" s="4">
        <v>31.1901630434783</v>
      </c>
    </row>
    <row r="121" spans="1:13" ht="14.5" x14ac:dyDescent="0.35">
      <c r="A121" t="s">
        <v>136</v>
      </c>
      <c r="B121" s="3">
        <v>45820</v>
      </c>
      <c r="C121" t="s">
        <v>10</v>
      </c>
      <c r="D121" t="s">
        <v>11</v>
      </c>
      <c r="E121" s="4">
        <v>1171.08</v>
      </c>
      <c r="F121">
        <v>239</v>
      </c>
      <c r="G121">
        <v>77</v>
      </c>
      <c r="H121">
        <v>2025</v>
      </c>
      <c r="I121">
        <v>6</v>
      </c>
      <c r="J121" s="6">
        <v>0.32217573221757301</v>
      </c>
      <c r="K121" t="s">
        <v>312</v>
      </c>
      <c r="L121" s="4">
        <v>4.8999163179916296</v>
      </c>
      <c r="M121" s="4">
        <v>15.2088311688312</v>
      </c>
    </row>
    <row r="122" spans="1:13" ht="14.5" x14ac:dyDescent="0.35">
      <c r="A122" t="s">
        <v>333</v>
      </c>
      <c r="B122" s="3">
        <v>46049</v>
      </c>
      <c r="C122" t="s">
        <v>15</v>
      </c>
      <c r="D122" t="s">
        <v>11</v>
      </c>
      <c r="E122" s="4">
        <v>4535.59</v>
      </c>
      <c r="F122">
        <v>515</v>
      </c>
      <c r="G122">
        <v>102</v>
      </c>
      <c r="H122">
        <v>2026</v>
      </c>
      <c r="I122">
        <v>1</v>
      </c>
      <c r="J122" s="6">
        <v>0.198058252427185</v>
      </c>
      <c r="K122" t="s">
        <v>312</v>
      </c>
      <c r="L122" s="4">
        <v>8.8069708737864101</v>
      </c>
      <c r="M122" s="4">
        <v>44.466568627450997</v>
      </c>
    </row>
    <row r="123" spans="1:13" ht="14.5" x14ac:dyDescent="0.35">
      <c r="A123" t="s">
        <v>137</v>
      </c>
      <c r="B123" s="3">
        <v>45952</v>
      </c>
      <c r="C123" t="s">
        <v>10</v>
      </c>
      <c r="D123" t="s">
        <v>21</v>
      </c>
      <c r="E123" s="4">
        <v>2516.86</v>
      </c>
      <c r="F123">
        <v>396</v>
      </c>
      <c r="G123">
        <v>105</v>
      </c>
      <c r="H123">
        <v>2025</v>
      </c>
      <c r="I123">
        <v>10</v>
      </c>
      <c r="J123" s="6">
        <v>0.26515151515151503</v>
      </c>
      <c r="K123" t="s">
        <v>312</v>
      </c>
      <c r="L123" s="4">
        <v>6.3557070707070702</v>
      </c>
      <c r="M123" s="4">
        <v>23.970095238095201</v>
      </c>
    </row>
    <row r="124" spans="1:13" ht="14.5" x14ac:dyDescent="0.35">
      <c r="A124" t="s">
        <v>138</v>
      </c>
      <c r="B124" s="3">
        <v>45775</v>
      </c>
      <c r="C124" t="s">
        <v>15</v>
      </c>
      <c r="D124" t="s">
        <v>43</v>
      </c>
      <c r="E124" s="4">
        <v>4480.3999999999996</v>
      </c>
      <c r="F124">
        <v>623</v>
      </c>
      <c r="G124">
        <v>137</v>
      </c>
      <c r="H124">
        <v>2025</v>
      </c>
      <c r="I124">
        <v>4</v>
      </c>
      <c r="J124" s="6">
        <v>0.21990369181380401</v>
      </c>
      <c r="K124" t="s">
        <v>312</v>
      </c>
      <c r="L124" s="4">
        <v>7.1916532905296897</v>
      </c>
      <c r="M124" s="4">
        <v>32.703649635036498</v>
      </c>
    </row>
    <row r="125" spans="1:13" ht="14.5" x14ac:dyDescent="0.35">
      <c r="A125" t="s">
        <v>139</v>
      </c>
      <c r="B125" s="3">
        <v>45987</v>
      </c>
      <c r="C125" t="s">
        <v>10</v>
      </c>
      <c r="D125" t="s">
        <v>43</v>
      </c>
      <c r="E125" s="4">
        <v>1871.59</v>
      </c>
      <c r="F125">
        <v>449</v>
      </c>
      <c r="G125">
        <v>126</v>
      </c>
      <c r="H125">
        <v>2025</v>
      </c>
      <c r="I125">
        <v>11</v>
      </c>
      <c r="J125" s="6">
        <v>0.28062360801781699</v>
      </c>
      <c r="K125" t="s">
        <v>312</v>
      </c>
      <c r="L125" s="4">
        <v>4.1683518930957701</v>
      </c>
      <c r="M125" s="4">
        <v>14.8538888888889</v>
      </c>
    </row>
    <row r="126" spans="1:13" ht="14.5" x14ac:dyDescent="0.35">
      <c r="A126" t="s">
        <v>140</v>
      </c>
      <c r="B126" s="3">
        <v>45799</v>
      </c>
      <c r="C126" t="s">
        <v>19</v>
      </c>
      <c r="D126" t="s">
        <v>11</v>
      </c>
      <c r="E126" s="4">
        <v>1114.46</v>
      </c>
      <c r="F126">
        <v>426</v>
      </c>
      <c r="G126">
        <v>15</v>
      </c>
      <c r="H126">
        <v>2025</v>
      </c>
      <c r="I126">
        <v>5</v>
      </c>
      <c r="J126" s="6">
        <v>3.5211267605633798E-2</v>
      </c>
      <c r="K126" t="s">
        <v>315</v>
      </c>
      <c r="L126" s="4">
        <v>2.61610328638498</v>
      </c>
      <c r="M126" s="4">
        <v>74.297333333333299</v>
      </c>
    </row>
    <row r="127" spans="1:13" ht="14.5" x14ac:dyDescent="0.35">
      <c r="A127" t="s">
        <v>141</v>
      </c>
      <c r="B127" s="3">
        <v>45941</v>
      </c>
      <c r="C127" t="s">
        <v>15</v>
      </c>
      <c r="D127" t="s">
        <v>11</v>
      </c>
      <c r="E127" s="4">
        <v>3820.16</v>
      </c>
      <c r="F127">
        <v>404</v>
      </c>
      <c r="G127">
        <v>44</v>
      </c>
      <c r="H127">
        <v>2025</v>
      </c>
      <c r="I127">
        <v>10</v>
      </c>
      <c r="J127" s="6">
        <v>0.10891089108910899</v>
      </c>
      <c r="K127" t="s">
        <v>315</v>
      </c>
      <c r="L127" s="4">
        <v>9.4558415841584207</v>
      </c>
      <c r="M127" s="4">
        <v>86.821818181818202</v>
      </c>
    </row>
    <row r="128" spans="1:13" ht="14.5" x14ac:dyDescent="0.35">
      <c r="A128" t="s">
        <v>142</v>
      </c>
      <c r="B128" s="3">
        <v>45860</v>
      </c>
      <c r="C128" t="s">
        <v>15</v>
      </c>
      <c r="D128" t="s">
        <v>17</v>
      </c>
      <c r="E128" s="4">
        <v>3984.76</v>
      </c>
      <c r="F128">
        <v>836</v>
      </c>
      <c r="G128">
        <v>146</v>
      </c>
      <c r="H128">
        <v>2025</v>
      </c>
      <c r="I128">
        <v>7</v>
      </c>
      <c r="J128" s="6">
        <v>0.17464114832535901</v>
      </c>
      <c r="K128" t="s">
        <v>315</v>
      </c>
      <c r="L128" s="4">
        <v>4.7664593301435403</v>
      </c>
      <c r="M128" s="4">
        <v>27.292876712328798</v>
      </c>
    </row>
    <row r="129" spans="1:13" ht="14.5" x14ac:dyDescent="0.35">
      <c r="A129" t="s">
        <v>143</v>
      </c>
      <c r="B129" s="3">
        <v>46133</v>
      </c>
      <c r="C129" t="s">
        <v>33</v>
      </c>
      <c r="D129" t="s">
        <v>11</v>
      </c>
      <c r="E129" s="4">
        <v>4136.17</v>
      </c>
      <c r="F129">
        <v>868</v>
      </c>
      <c r="G129">
        <v>236</v>
      </c>
      <c r="H129">
        <v>2026</v>
      </c>
      <c r="I129">
        <v>4</v>
      </c>
      <c r="J129" s="6">
        <v>0.27188940092165897</v>
      </c>
      <c r="K129" t="s">
        <v>312</v>
      </c>
      <c r="L129" s="4">
        <v>4.7651728110599096</v>
      </c>
      <c r="M129" s="4">
        <v>17.526144067796601</v>
      </c>
    </row>
    <row r="130" spans="1:13" ht="14.5" x14ac:dyDescent="0.35">
      <c r="A130" t="s">
        <v>144</v>
      </c>
      <c r="B130" s="3">
        <v>45701</v>
      </c>
      <c r="C130" t="s">
        <v>10</v>
      </c>
      <c r="D130" t="s">
        <v>43</v>
      </c>
      <c r="E130" s="4">
        <v>1886.26</v>
      </c>
      <c r="F130">
        <v>2020</v>
      </c>
      <c r="G130">
        <v>64</v>
      </c>
      <c r="H130">
        <v>2025</v>
      </c>
      <c r="I130">
        <v>2</v>
      </c>
      <c r="J130" s="6">
        <v>3.1683168316831697E-2</v>
      </c>
      <c r="K130" t="s">
        <v>315</v>
      </c>
      <c r="L130" s="4">
        <v>0.93379207920792096</v>
      </c>
      <c r="M130" s="4">
        <v>29.4728125</v>
      </c>
    </row>
    <row r="131" spans="1:13" ht="14.5" x14ac:dyDescent="0.35">
      <c r="A131" t="s">
        <v>145</v>
      </c>
      <c r="B131" s="3">
        <v>45827</v>
      </c>
      <c r="C131" t="s">
        <v>15</v>
      </c>
      <c r="D131" t="s">
        <v>11</v>
      </c>
      <c r="E131" s="4">
        <v>2545.5100000000002</v>
      </c>
      <c r="F131">
        <v>317</v>
      </c>
      <c r="G131">
        <v>62</v>
      </c>
      <c r="H131">
        <v>2025</v>
      </c>
      <c r="I131">
        <v>6</v>
      </c>
      <c r="J131" s="6">
        <v>0.19558359621451099</v>
      </c>
      <c r="K131" t="s">
        <v>312</v>
      </c>
      <c r="L131" s="4">
        <v>8.0299999999999994</v>
      </c>
      <c r="M131" s="4">
        <v>41.056612903225798</v>
      </c>
    </row>
    <row r="132" spans="1:13" ht="14.5" x14ac:dyDescent="0.35">
      <c r="A132" t="s">
        <v>146</v>
      </c>
      <c r="B132" s="3">
        <v>46086</v>
      </c>
      <c r="C132" t="s">
        <v>10</v>
      </c>
      <c r="D132" t="s">
        <v>11</v>
      </c>
      <c r="E132" s="4">
        <v>3983.85</v>
      </c>
      <c r="F132">
        <v>785</v>
      </c>
      <c r="G132">
        <v>171</v>
      </c>
      <c r="H132">
        <v>2026</v>
      </c>
      <c r="I132">
        <v>3</v>
      </c>
      <c r="J132" s="6">
        <v>0.21783439490445899</v>
      </c>
      <c r="K132" t="s">
        <v>312</v>
      </c>
      <c r="L132" s="4">
        <v>5.0749681528662398</v>
      </c>
      <c r="M132" s="4">
        <v>23.2973684210526</v>
      </c>
    </row>
    <row r="133" spans="1:13" ht="14.5" x14ac:dyDescent="0.35">
      <c r="A133" t="s">
        <v>147</v>
      </c>
      <c r="B133" s="3">
        <v>45726</v>
      </c>
      <c r="C133" t="s">
        <v>19</v>
      </c>
      <c r="D133" t="s">
        <v>21</v>
      </c>
      <c r="E133" s="4">
        <v>3390.61</v>
      </c>
      <c r="F133">
        <v>426</v>
      </c>
      <c r="G133">
        <v>129</v>
      </c>
      <c r="H133">
        <v>2025</v>
      </c>
      <c r="I133">
        <v>3</v>
      </c>
      <c r="J133" s="6">
        <v>0.30281690140845102</v>
      </c>
      <c r="K133" t="s">
        <v>312</v>
      </c>
      <c r="L133" s="4">
        <v>7.9591784037558702</v>
      </c>
      <c r="M133" s="4">
        <v>26.283798449612402</v>
      </c>
    </row>
    <row r="134" spans="1:13" ht="14.5" x14ac:dyDescent="0.35">
      <c r="A134" t="s">
        <v>148</v>
      </c>
      <c r="B134" s="3">
        <v>45780</v>
      </c>
      <c r="C134" t="s">
        <v>19</v>
      </c>
      <c r="D134" t="s">
        <v>43</v>
      </c>
      <c r="E134" s="4">
        <v>4386.0600000000004</v>
      </c>
      <c r="F134">
        <v>363</v>
      </c>
      <c r="G134">
        <v>71</v>
      </c>
      <c r="H134">
        <v>2025</v>
      </c>
      <c r="I134">
        <v>5</v>
      </c>
      <c r="J134" s="6">
        <v>0.195592286501377</v>
      </c>
      <c r="K134" t="s">
        <v>312</v>
      </c>
      <c r="L134" s="4">
        <v>12.0828099173554</v>
      </c>
      <c r="M134" s="4">
        <v>61.775492957746501</v>
      </c>
    </row>
    <row r="135" spans="1:13" ht="14.5" x14ac:dyDescent="0.35">
      <c r="A135" t="s">
        <v>149</v>
      </c>
      <c r="B135" s="3">
        <v>45726</v>
      </c>
      <c r="C135" t="s">
        <v>15</v>
      </c>
      <c r="D135" t="s">
        <v>35</v>
      </c>
      <c r="E135" s="4">
        <v>1162.7</v>
      </c>
      <c r="F135">
        <v>264</v>
      </c>
      <c r="G135">
        <v>51</v>
      </c>
      <c r="H135">
        <v>2025</v>
      </c>
      <c r="I135">
        <v>3</v>
      </c>
      <c r="J135" s="6">
        <v>0.19318181818181801</v>
      </c>
      <c r="K135" t="s">
        <v>312</v>
      </c>
      <c r="L135" s="4">
        <v>4.4041666666666703</v>
      </c>
      <c r="M135" s="4">
        <v>22.798039215686298</v>
      </c>
    </row>
    <row r="136" spans="1:13" ht="14.5" x14ac:dyDescent="0.35">
      <c r="A136" t="s">
        <v>150</v>
      </c>
      <c r="B136" s="3">
        <v>45690</v>
      </c>
      <c r="C136" t="s">
        <v>76</v>
      </c>
      <c r="D136" t="s">
        <v>21</v>
      </c>
      <c r="E136" s="4">
        <v>4794.5</v>
      </c>
      <c r="F136">
        <v>1097</v>
      </c>
      <c r="G136">
        <v>164</v>
      </c>
      <c r="H136">
        <v>2025</v>
      </c>
      <c r="I136">
        <v>2</v>
      </c>
      <c r="J136" s="6">
        <v>0.14949863263445801</v>
      </c>
      <c r="K136" t="s">
        <v>315</v>
      </c>
      <c r="L136" s="4">
        <v>4.3705560619872399</v>
      </c>
      <c r="M136" s="4">
        <v>29.234756097561</v>
      </c>
    </row>
    <row r="137" spans="1:13" ht="14.5" x14ac:dyDescent="0.35">
      <c r="A137" t="s">
        <v>151</v>
      </c>
      <c r="B137" s="3">
        <v>45797</v>
      </c>
      <c r="C137" t="s">
        <v>10</v>
      </c>
      <c r="D137" t="s">
        <v>11</v>
      </c>
      <c r="E137" s="4">
        <v>1957.41</v>
      </c>
      <c r="F137">
        <v>426</v>
      </c>
      <c r="G137">
        <v>112</v>
      </c>
      <c r="H137">
        <v>2025</v>
      </c>
      <c r="I137">
        <v>5</v>
      </c>
      <c r="J137" s="6">
        <v>0.26291079812206603</v>
      </c>
      <c r="K137" t="s">
        <v>312</v>
      </c>
      <c r="L137" s="4">
        <v>4.5948591549295799</v>
      </c>
      <c r="M137" s="4">
        <v>17.476875</v>
      </c>
    </row>
    <row r="138" spans="1:13" ht="14.5" x14ac:dyDescent="0.35">
      <c r="A138" t="s">
        <v>152</v>
      </c>
      <c r="B138" s="3">
        <v>45934</v>
      </c>
      <c r="C138" t="s">
        <v>19</v>
      </c>
      <c r="D138" t="s">
        <v>14</v>
      </c>
      <c r="E138" s="4">
        <v>3515.62</v>
      </c>
      <c r="F138">
        <v>462</v>
      </c>
      <c r="G138">
        <v>110</v>
      </c>
      <c r="H138">
        <v>2025</v>
      </c>
      <c r="I138">
        <v>10</v>
      </c>
      <c r="J138" s="6">
        <v>0.238095238095238</v>
      </c>
      <c r="K138" t="s">
        <v>312</v>
      </c>
      <c r="L138" s="4">
        <v>7.6095670995670996</v>
      </c>
      <c r="M138" s="4">
        <v>31.960181818181798</v>
      </c>
    </row>
    <row r="139" spans="1:13" ht="14.5" x14ac:dyDescent="0.35">
      <c r="A139" t="s">
        <v>153</v>
      </c>
      <c r="B139" s="3">
        <v>45767</v>
      </c>
      <c r="C139" t="s">
        <v>15</v>
      </c>
      <c r="D139" t="s">
        <v>17</v>
      </c>
      <c r="E139" s="4">
        <v>3004.61</v>
      </c>
      <c r="F139">
        <v>469</v>
      </c>
      <c r="G139">
        <v>62</v>
      </c>
      <c r="H139">
        <v>2025</v>
      </c>
      <c r="I139">
        <v>4</v>
      </c>
      <c r="J139" s="6">
        <v>0.13219616204690801</v>
      </c>
      <c r="K139" t="s">
        <v>315</v>
      </c>
      <c r="L139" s="4">
        <v>6.4064179104477601</v>
      </c>
      <c r="M139" s="4">
        <v>48.461451612903197</v>
      </c>
    </row>
    <row r="140" spans="1:13" ht="14.5" x14ac:dyDescent="0.35">
      <c r="A140" t="s">
        <v>154</v>
      </c>
      <c r="B140" s="3">
        <v>45989</v>
      </c>
      <c r="C140" t="s">
        <v>24</v>
      </c>
      <c r="D140" t="s">
        <v>33</v>
      </c>
      <c r="E140" s="4">
        <v>4745.3500000000004</v>
      </c>
      <c r="F140">
        <v>589</v>
      </c>
      <c r="G140">
        <v>129</v>
      </c>
      <c r="H140">
        <v>2025</v>
      </c>
      <c r="I140">
        <v>11</v>
      </c>
      <c r="J140" s="6">
        <v>0.219015280135823</v>
      </c>
      <c r="K140" t="s">
        <v>312</v>
      </c>
      <c r="L140" s="4">
        <v>8.0566213921901504</v>
      </c>
      <c r="M140" s="4">
        <v>36.7856589147287</v>
      </c>
    </row>
    <row r="141" spans="1:13" ht="14.5" x14ac:dyDescent="0.35">
      <c r="A141" t="s">
        <v>155</v>
      </c>
      <c r="B141" s="3">
        <v>46134</v>
      </c>
      <c r="C141" t="s">
        <v>24</v>
      </c>
      <c r="D141" t="s">
        <v>17</v>
      </c>
      <c r="E141" s="4">
        <v>4019.24</v>
      </c>
      <c r="F141">
        <v>352</v>
      </c>
      <c r="G141">
        <v>73</v>
      </c>
      <c r="H141">
        <v>2026</v>
      </c>
      <c r="I141">
        <v>4</v>
      </c>
      <c r="J141" s="6">
        <v>0.20738636363636401</v>
      </c>
      <c r="K141" t="s">
        <v>312</v>
      </c>
      <c r="L141" s="4">
        <v>11.4182954545455</v>
      </c>
      <c r="M141" s="4">
        <v>55.058082191780798</v>
      </c>
    </row>
    <row r="142" spans="1:13" ht="14.5" x14ac:dyDescent="0.35">
      <c r="A142" t="s">
        <v>156</v>
      </c>
      <c r="B142" s="3">
        <v>45679</v>
      </c>
      <c r="C142" t="s">
        <v>24</v>
      </c>
      <c r="D142" t="s">
        <v>11</v>
      </c>
      <c r="E142" s="4">
        <v>604.73</v>
      </c>
      <c r="F142">
        <v>124</v>
      </c>
      <c r="G142">
        <v>21</v>
      </c>
      <c r="H142">
        <v>2025</v>
      </c>
      <c r="I142">
        <v>1</v>
      </c>
      <c r="J142" s="6">
        <v>0.16935483870967699</v>
      </c>
      <c r="K142" t="s">
        <v>315</v>
      </c>
      <c r="L142" s="4">
        <v>4.8768548387096802</v>
      </c>
      <c r="M142" s="4">
        <v>28.796666666666699</v>
      </c>
    </row>
    <row r="143" spans="1:13" ht="14.5" x14ac:dyDescent="0.35">
      <c r="A143" t="s">
        <v>334</v>
      </c>
      <c r="B143" s="3">
        <v>46143</v>
      </c>
      <c r="C143" t="s">
        <v>10</v>
      </c>
      <c r="D143" t="s">
        <v>11</v>
      </c>
      <c r="E143" s="4">
        <v>4255.3599999999997</v>
      </c>
      <c r="F143">
        <v>958</v>
      </c>
      <c r="G143">
        <v>73</v>
      </c>
      <c r="H143">
        <v>2026</v>
      </c>
      <c r="I143">
        <v>5</v>
      </c>
      <c r="J143" s="6">
        <v>7.6200417536534504E-2</v>
      </c>
      <c r="K143" t="s">
        <v>315</v>
      </c>
      <c r="L143" s="4">
        <v>4.44192066805845</v>
      </c>
      <c r="M143" s="4">
        <v>58.292602739726</v>
      </c>
    </row>
    <row r="144" spans="1:13" ht="14.5" x14ac:dyDescent="0.35">
      <c r="A144" t="s">
        <v>157</v>
      </c>
      <c r="B144" s="3">
        <v>45871</v>
      </c>
      <c r="C144" t="s">
        <v>24</v>
      </c>
      <c r="D144" t="s">
        <v>14</v>
      </c>
      <c r="E144" s="4">
        <v>1204.6600000000001</v>
      </c>
      <c r="F144">
        <v>426</v>
      </c>
      <c r="G144">
        <v>59</v>
      </c>
      <c r="H144">
        <v>2025</v>
      </c>
      <c r="I144">
        <v>8</v>
      </c>
      <c r="J144" s="6">
        <v>0.13849765258216001</v>
      </c>
      <c r="K144" t="s">
        <v>315</v>
      </c>
      <c r="L144" s="4">
        <v>2.82784037558686</v>
      </c>
      <c r="M144" s="4">
        <v>20.417966101694901</v>
      </c>
    </row>
    <row r="145" spans="1:13" ht="14.5" x14ac:dyDescent="0.35">
      <c r="A145" t="s">
        <v>158</v>
      </c>
      <c r="B145" s="3">
        <v>45938</v>
      </c>
      <c r="C145" t="s">
        <v>15</v>
      </c>
      <c r="D145" t="s">
        <v>17</v>
      </c>
      <c r="E145" s="4">
        <v>606.14</v>
      </c>
      <c r="F145">
        <v>61</v>
      </c>
      <c r="G145">
        <v>61</v>
      </c>
      <c r="H145">
        <v>2025</v>
      </c>
      <c r="I145">
        <v>10</v>
      </c>
      <c r="J145" s="6">
        <v>1</v>
      </c>
      <c r="K145" t="s">
        <v>312</v>
      </c>
      <c r="L145" s="4">
        <v>9.9367213114754094</v>
      </c>
      <c r="M145" s="4">
        <v>9.9367213114754094</v>
      </c>
    </row>
    <row r="146" spans="1:13" ht="14.5" x14ac:dyDescent="0.35">
      <c r="A146" t="s">
        <v>159</v>
      </c>
      <c r="B146" s="3">
        <v>46209</v>
      </c>
      <c r="C146" t="s">
        <v>15</v>
      </c>
      <c r="D146" t="s">
        <v>11</v>
      </c>
      <c r="E146" s="4">
        <v>2072.73</v>
      </c>
      <c r="F146">
        <v>291</v>
      </c>
      <c r="G146">
        <v>53</v>
      </c>
      <c r="H146">
        <v>2026</v>
      </c>
      <c r="I146">
        <v>7</v>
      </c>
      <c r="J146" s="6">
        <v>0.18213058419243999</v>
      </c>
      <c r="K146" t="s">
        <v>315</v>
      </c>
      <c r="L146" s="4">
        <v>7.12278350515464</v>
      </c>
      <c r="M146" s="4">
        <v>39.108113207547198</v>
      </c>
    </row>
    <row r="147" spans="1:13" ht="14.5" x14ac:dyDescent="0.35">
      <c r="A147" t="s">
        <v>160</v>
      </c>
      <c r="B147" s="3">
        <v>45914</v>
      </c>
      <c r="C147" t="s">
        <v>19</v>
      </c>
      <c r="D147" t="s">
        <v>43</v>
      </c>
      <c r="E147" s="4">
        <v>2168.23</v>
      </c>
      <c r="F147">
        <v>302</v>
      </c>
      <c r="G147">
        <v>35</v>
      </c>
      <c r="H147">
        <v>2025</v>
      </c>
      <c r="I147">
        <v>9</v>
      </c>
      <c r="J147" s="6">
        <v>0.115894039735099</v>
      </c>
      <c r="K147" t="s">
        <v>315</v>
      </c>
      <c r="L147" s="4">
        <v>7.1795695364238403</v>
      </c>
      <c r="M147" s="4">
        <v>61.949428571428598</v>
      </c>
    </row>
    <row r="148" spans="1:13" ht="14.5" x14ac:dyDescent="0.35">
      <c r="A148" t="s">
        <v>161</v>
      </c>
      <c r="B148" s="3">
        <v>45864</v>
      </c>
      <c r="C148" t="s">
        <v>10</v>
      </c>
      <c r="D148" t="s">
        <v>35</v>
      </c>
      <c r="E148" s="4">
        <v>4432.42</v>
      </c>
      <c r="F148">
        <v>953</v>
      </c>
      <c r="G148">
        <v>211</v>
      </c>
      <c r="H148">
        <v>2025</v>
      </c>
      <c r="I148">
        <v>7</v>
      </c>
      <c r="J148" s="6">
        <v>0.221406086044071</v>
      </c>
      <c r="K148" t="s">
        <v>312</v>
      </c>
      <c r="L148" s="4">
        <v>4.65101783840504</v>
      </c>
      <c r="M148" s="4">
        <v>21.006729857819899</v>
      </c>
    </row>
    <row r="149" spans="1:13" ht="14.5" x14ac:dyDescent="0.35">
      <c r="A149" t="s">
        <v>162</v>
      </c>
      <c r="B149" s="3">
        <v>45883</v>
      </c>
      <c r="C149" t="s">
        <v>10</v>
      </c>
      <c r="D149" t="s">
        <v>11</v>
      </c>
      <c r="E149" s="4">
        <v>2869.4949999999999</v>
      </c>
      <c r="F149">
        <v>901</v>
      </c>
      <c r="G149">
        <v>198</v>
      </c>
      <c r="H149">
        <v>2025</v>
      </c>
      <c r="I149">
        <v>8</v>
      </c>
      <c r="J149" s="6">
        <v>0.21975582685904599</v>
      </c>
      <c r="K149" t="s">
        <v>312</v>
      </c>
      <c r="L149" s="4">
        <v>3.1847891231964498</v>
      </c>
      <c r="M149" s="4">
        <v>14.492398989899</v>
      </c>
    </row>
    <row r="150" spans="1:13" ht="14.5" x14ac:dyDescent="0.35">
      <c r="A150" t="s">
        <v>163</v>
      </c>
      <c r="B150" s="3">
        <v>46027</v>
      </c>
      <c r="C150" t="s">
        <v>10</v>
      </c>
      <c r="D150" t="s">
        <v>17</v>
      </c>
      <c r="E150" s="4">
        <v>2656.25</v>
      </c>
      <c r="F150">
        <v>484</v>
      </c>
      <c r="G150">
        <v>131</v>
      </c>
      <c r="H150">
        <v>2026</v>
      </c>
      <c r="I150">
        <v>1</v>
      </c>
      <c r="J150" s="6">
        <v>0.27066115702479299</v>
      </c>
      <c r="K150" t="s">
        <v>312</v>
      </c>
      <c r="L150" s="4">
        <v>5.4881198347107398</v>
      </c>
      <c r="M150" s="4">
        <v>20.276717557251899</v>
      </c>
    </row>
    <row r="151" spans="1:13" ht="14.5" x14ac:dyDescent="0.35">
      <c r="A151" t="s">
        <v>164</v>
      </c>
      <c r="B151" s="3">
        <v>46226</v>
      </c>
      <c r="C151" t="s">
        <v>76</v>
      </c>
      <c r="D151" t="s">
        <v>17</v>
      </c>
      <c r="E151" s="4">
        <v>4681.12</v>
      </c>
      <c r="F151">
        <v>461</v>
      </c>
      <c r="G151">
        <v>43</v>
      </c>
      <c r="H151">
        <v>2026</v>
      </c>
      <c r="I151">
        <v>7</v>
      </c>
      <c r="J151" s="6">
        <v>9.3275488069414297E-2</v>
      </c>
      <c r="K151" t="s">
        <v>315</v>
      </c>
      <c r="L151" s="4">
        <v>10.154273318872001</v>
      </c>
      <c r="M151" s="4">
        <v>108.863255813954</v>
      </c>
    </row>
    <row r="152" spans="1:13" ht="14.5" x14ac:dyDescent="0.35">
      <c r="A152" t="s">
        <v>165</v>
      </c>
      <c r="B152" s="3">
        <v>46022</v>
      </c>
      <c r="C152" t="s">
        <v>76</v>
      </c>
      <c r="D152" t="s">
        <v>17</v>
      </c>
      <c r="E152" s="4">
        <v>1436.63</v>
      </c>
      <c r="F152">
        <v>325</v>
      </c>
      <c r="G152">
        <v>73</v>
      </c>
      <c r="H152">
        <v>2025</v>
      </c>
      <c r="I152">
        <v>12</v>
      </c>
      <c r="J152" s="6">
        <v>0.22461538461538499</v>
      </c>
      <c r="K152" t="s">
        <v>312</v>
      </c>
      <c r="L152" s="4">
        <v>4.4203999999999999</v>
      </c>
      <c r="M152" s="4">
        <v>19.679863013698601</v>
      </c>
    </row>
    <row r="153" spans="1:13" ht="14.5" x14ac:dyDescent="0.35">
      <c r="A153" t="s">
        <v>166</v>
      </c>
      <c r="B153" s="3">
        <v>45680</v>
      </c>
      <c r="C153" t="s">
        <v>10</v>
      </c>
      <c r="D153" t="s">
        <v>35</v>
      </c>
      <c r="E153" s="4">
        <v>4866.42</v>
      </c>
      <c r="F153">
        <v>484</v>
      </c>
      <c r="G153">
        <v>130</v>
      </c>
      <c r="H153">
        <v>2025</v>
      </c>
      <c r="I153">
        <v>1</v>
      </c>
      <c r="J153" s="6">
        <v>0.26859504132231399</v>
      </c>
      <c r="K153" t="s">
        <v>312</v>
      </c>
      <c r="L153" s="4">
        <v>10.0545867768595</v>
      </c>
      <c r="M153" s="4">
        <v>37.433999999999997</v>
      </c>
    </row>
    <row r="154" spans="1:13" ht="14.5" x14ac:dyDescent="0.35">
      <c r="A154" t="s">
        <v>167</v>
      </c>
      <c r="B154" s="3">
        <v>46088</v>
      </c>
      <c r="C154" t="s">
        <v>10</v>
      </c>
      <c r="D154" t="s">
        <v>43</v>
      </c>
      <c r="E154" s="4">
        <v>1750.35</v>
      </c>
      <c r="F154">
        <v>310</v>
      </c>
      <c r="G154">
        <v>82</v>
      </c>
      <c r="H154">
        <v>2026</v>
      </c>
      <c r="I154">
        <v>3</v>
      </c>
      <c r="J154" s="6">
        <v>0.26451612903225802</v>
      </c>
      <c r="K154" t="s">
        <v>312</v>
      </c>
      <c r="L154" s="4">
        <v>5.64629032258064</v>
      </c>
      <c r="M154" s="4">
        <v>21.3457317073171</v>
      </c>
    </row>
    <row r="155" spans="1:13" ht="14.5" x14ac:dyDescent="0.35">
      <c r="A155" t="s">
        <v>168</v>
      </c>
      <c r="B155" s="3">
        <v>45726</v>
      </c>
      <c r="C155" t="s">
        <v>33</v>
      </c>
      <c r="D155" t="s">
        <v>14</v>
      </c>
      <c r="E155" s="4">
        <v>4171.16</v>
      </c>
      <c r="F155">
        <v>800</v>
      </c>
      <c r="G155">
        <v>160</v>
      </c>
      <c r="H155">
        <v>2025</v>
      </c>
      <c r="I155">
        <v>3</v>
      </c>
      <c r="J155" s="6">
        <v>0.2</v>
      </c>
      <c r="K155" t="s">
        <v>312</v>
      </c>
      <c r="L155" s="4">
        <v>5.2139499999999996</v>
      </c>
      <c r="M155" s="4">
        <v>26.069749999999999</v>
      </c>
    </row>
    <row r="156" spans="1:13" ht="14.5" x14ac:dyDescent="0.35">
      <c r="A156" t="s">
        <v>169</v>
      </c>
      <c r="B156" s="3">
        <v>45989</v>
      </c>
      <c r="C156" t="s">
        <v>15</v>
      </c>
      <c r="D156" t="s">
        <v>11</v>
      </c>
      <c r="E156" s="4">
        <v>2869.4949999999999</v>
      </c>
      <c r="F156">
        <v>757</v>
      </c>
      <c r="G156">
        <v>84</v>
      </c>
      <c r="H156">
        <v>2025</v>
      </c>
      <c r="I156">
        <v>11</v>
      </c>
      <c r="J156" s="6">
        <v>0.11096433289299901</v>
      </c>
      <c r="K156" t="s">
        <v>315</v>
      </c>
      <c r="L156" s="4">
        <v>3.7906142668428</v>
      </c>
      <c r="M156" s="4">
        <v>34.160654761904802</v>
      </c>
    </row>
    <row r="157" spans="1:13" ht="14.5" x14ac:dyDescent="0.35">
      <c r="A157" t="s">
        <v>170</v>
      </c>
      <c r="B157" s="3">
        <v>46195</v>
      </c>
      <c r="C157" t="s">
        <v>10</v>
      </c>
      <c r="D157" t="s">
        <v>21</v>
      </c>
      <c r="E157" s="4">
        <v>3586.84</v>
      </c>
      <c r="F157">
        <v>484</v>
      </c>
      <c r="G157">
        <v>119</v>
      </c>
      <c r="H157">
        <v>2026</v>
      </c>
      <c r="I157">
        <v>6</v>
      </c>
      <c r="J157" s="6">
        <v>0.245867768595041</v>
      </c>
      <c r="K157" t="s">
        <v>312</v>
      </c>
      <c r="L157" s="4">
        <v>7.4108264462809901</v>
      </c>
      <c r="M157" s="4">
        <v>30.141512605041999</v>
      </c>
    </row>
    <row r="158" spans="1:13" ht="14.5" x14ac:dyDescent="0.35">
      <c r="A158" t="s">
        <v>171</v>
      </c>
      <c r="B158" s="3">
        <v>45758</v>
      </c>
      <c r="C158" t="s">
        <v>33</v>
      </c>
      <c r="D158" t="s">
        <v>11</v>
      </c>
      <c r="E158" s="4">
        <v>3209.43</v>
      </c>
      <c r="F158">
        <v>588</v>
      </c>
      <c r="G158">
        <v>135</v>
      </c>
      <c r="H158">
        <v>2025</v>
      </c>
      <c r="I158">
        <v>4</v>
      </c>
      <c r="J158" s="6">
        <v>0.22959183673469399</v>
      </c>
      <c r="K158" t="s">
        <v>312</v>
      </c>
      <c r="L158" s="4">
        <v>5.4582142857142903</v>
      </c>
      <c r="M158" s="4">
        <v>23.7735555555556</v>
      </c>
    </row>
    <row r="159" spans="1:13" ht="14.5" x14ac:dyDescent="0.35">
      <c r="A159" t="s">
        <v>172</v>
      </c>
      <c r="B159" s="3">
        <v>46037</v>
      </c>
      <c r="C159" t="s">
        <v>10</v>
      </c>
      <c r="D159" t="s">
        <v>43</v>
      </c>
      <c r="E159" s="4">
        <v>3566.31</v>
      </c>
      <c r="F159">
        <v>426</v>
      </c>
      <c r="G159">
        <v>112</v>
      </c>
      <c r="H159">
        <v>2026</v>
      </c>
      <c r="I159">
        <v>1</v>
      </c>
      <c r="J159" s="6">
        <v>0.26291079812206603</v>
      </c>
      <c r="K159" t="s">
        <v>312</v>
      </c>
      <c r="L159" s="4">
        <v>8.3716197183098604</v>
      </c>
      <c r="M159" s="4">
        <v>31.8420535714286</v>
      </c>
    </row>
    <row r="160" spans="1:13" ht="14.5" x14ac:dyDescent="0.35">
      <c r="A160" t="s">
        <v>173</v>
      </c>
      <c r="B160" s="3">
        <v>45941</v>
      </c>
      <c r="C160" t="s">
        <v>10</v>
      </c>
      <c r="D160" t="s">
        <v>43</v>
      </c>
      <c r="E160" s="4">
        <v>1846.32</v>
      </c>
      <c r="F160">
        <v>335</v>
      </c>
      <c r="G160">
        <v>74</v>
      </c>
      <c r="H160">
        <v>2025</v>
      </c>
      <c r="I160">
        <v>10</v>
      </c>
      <c r="J160" s="6">
        <v>0.22089552238806001</v>
      </c>
      <c r="K160" t="s">
        <v>312</v>
      </c>
      <c r="L160" s="4">
        <v>5.5114029850746302</v>
      </c>
      <c r="M160" s="4">
        <v>24.950270270270298</v>
      </c>
    </row>
    <row r="161" spans="1:13" ht="14.5" x14ac:dyDescent="0.35">
      <c r="A161" t="s">
        <v>174</v>
      </c>
      <c r="B161" s="3">
        <v>45915</v>
      </c>
      <c r="C161" t="s">
        <v>76</v>
      </c>
      <c r="D161" t="s">
        <v>11</v>
      </c>
      <c r="E161" s="4">
        <v>-9</v>
      </c>
      <c r="F161">
        <v>728</v>
      </c>
      <c r="G161">
        <v>36</v>
      </c>
      <c r="H161">
        <v>2025</v>
      </c>
      <c r="I161">
        <v>9</v>
      </c>
      <c r="J161" s="6">
        <v>4.9450549450549497E-2</v>
      </c>
      <c r="K161" t="s">
        <v>315</v>
      </c>
      <c r="L161" s="4">
        <v>-1.23626373626374E-2</v>
      </c>
      <c r="M161" s="4">
        <v>-0.25</v>
      </c>
    </row>
    <row r="162" spans="1:13" ht="14.5" x14ac:dyDescent="0.35">
      <c r="A162" t="s">
        <v>175</v>
      </c>
      <c r="B162" s="3">
        <v>46161</v>
      </c>
      <c r="C162" t="s">
        <v>15</v>
      </c>
      <c r="D162" t="s">
        <v>21</v>
      </c>
      <c r="E162" s="4">
        <v>2468.4899999999998</v>
      </c>
      <c r="F162">
        <v>507</v>
      </c>
      <c r="G162">
        <v>47</v>
      </c>
      <c r="H162">
        <v>2026</v>
      </c>
      <c r="I162">
        <v>5</v>
      </c>
      <c r="J162" s="6">
        <v>9.2702169625246605E-2</v>
      </c>
      <c r="K162" t="s">
        <v>315</v>
      </c>
      <c r="L162" s="4">
        <v>4.8688165680473396</v>
      </c>
      <c r="M162" s="4">
        <v>52.521063829787202</v>
      </c>
    </row>
    <row r="163" spans="1:13" ht="14.5" x14ac:dyDescent="0.35">
      <c r="A163" t="s">
        <v>176</v>
      </c>
      <c r="B163" s="3">
        <v>46105</v>
      </c>
      <c r="C163" t="s">
        <v>76</v>
      </c>
      <c r="D163" t="s">
        <v>35</v>
      </c>
      <c r="E163" s="4">
        <v>4251.95</v>
      </c>
      <c r="F163">
        <v>426</v>
      </c>
      <c r="G163">
        <v>32</v>
      </c>
      <c r="H163">
        <v>2026</v>
      </c>
      <c r="I163">
        <v>3</v>
      </c>
      <c r="J163" s="6">
        <v>7.5117370892018795E-2</v>
      </c>
      <c r="K163" t="s">
        <v>315</v>
      </c>
      <c r="L163" s="4">
        <v>9.9811032863849807</v>
      </c>
      <c r="M163" s="4">
        <v>132.87343749999999</v>
      </c>
    </row>
    <row r="164" spans="1:13" ht="14.5" x14ac:dyDescent="0.35">
      <c r="A164" t="s">
        <v>177</v>
      </c>
      <c r="B164" s="3">
        <v>45941</v>
      </c>
      <c r="C164" t="s">
        <v>24</v>
      </c>
      <c r="D164" t="s">
        <v>17</v>
      </c>
      <c r="E164" s="4">
        <v>1351.61</v>
      </c>
      <c r="F164">
        <v>295</v>
      </c>
      <c r="G164">
        <v>66</v>
      </c>
      <c r="H164">
        <v>2025</v>
      </c>
      <c r="I164">
        <v>10</v>
      </c>
      <c r="J164" s="6">
        <v>0.223728813559322</v>
      </c>
      <c r="K164" t="s">
        <v>312</v>
      </c>
      <c r="L164" s="4">
        <v>4.5817288135593204</v>
      </c>
      <c r="M164" s="4">
        <v>20.478939393939399</v>
      </c>
    </row>
    <row r="165" spans="1:13" ht="14.5" x14ac:dyDescent="0.35">
      <c r="A165" t="s">
        <v>178</v>
      </c>
      <c r="B165" s="3">
        <v>45818</v>
      </c>
      <c r="C165" t="s">
        <v>15</v>
      </c>
      <c r="D165" t="s">
        <v>43</v>
      </c>
      <c r="E165" s="4">
        <v>2984.14</v>
      </c>
      <c r="F165">
        <v>517</v>
      </c>
      <c r="G165">
        <v>110</v>
      </c>
      <c r="H165">
        <v>2025</v>
      </c>
      <c r="I165">
        <v>6</v>
      </c>
      <c r="J165" s="6">
        <v>0.21276595744680901</v>
      </c>
      <c r="K165" t="s">
        <v>312</v>
      </c>
      <c r="L165" s="4">
        <v>5.7720309477756304</v>
      </c>
      <c r="M165" s="4">
        <v>27.128545454545499</v>
      </c>
    </row>
    <row r="166" spans="1:13" ht="14.5" x14ac:dyDescent="0.35">
      <c r="A166" t="s">
        <v>179</v>
      </c>
      <c r="B166" s="3">
        <v>45972</v>
      </c>
      <c r="C166" t="s">
        <v>19</v>
      </c>
      <c r="D166" t="s">
        <v>43</v>
      </c>
      <c r="E166" s="4">
        <v>895.61</v>
      </c>
      <c r="F166">
        <v>426</v>
      </c>
      <c r="G166">
        <v>41</v>
      </c>
      <c r="H166">
        <v>2025</v>
      </c>
      <c r="I166">
        <v>11</v>
      </c>
      <c r="J166" s="6">
        <v>9.6244131455399104E-2</v>
      </c>
      <c r="K166" t="s">
        <v>315</v>
      </c>
      <c r="L166" s="4">
        <v>2.1023708920187798</v>
      </c>
      <c r="M166" s="4">
        <v>21.8441463414634</v>
      </c>
    </row>
    <row r="167" spans="1:13" ht="14.5" x14ac:dyDescent="0.35">
      <c r="A167" t="s">
        <v>180</v>
      </c>
      <c r="B167" s="3">
        <v>45745</v>
      </c>
      <c r="C167" t="s">
        <v>24</v>
      </c>
      <c r="D167" t="s">
        <v>11</v>
      </c>
      <c r="E167" s="4">
        <v>3589.39</v>
      </c>
      <c r="F167">
        <v>740</v>
      </c>
      <c r="G167">
        <v>168</v>
      </c>
      <c r="H167">
        <v>2025</v>
      </c>
      <c r="I167">
        <v>3</v>
      </c>
      <c r="J167" s="6">
        <v>0.22702702702702701</v>
      </c>
      <c r="K167" t="s">
        <v>312</v>
      </c>
      <c r="L167" s="4">
        <v>4.85052702702703</v>
      </c>
      <c r="M167" s="4">
        <v>21.3654166666667</v>
      </c>
    </row>
    <row r="168" spans="1:13" ht="14.5" x14ac:dyDescent="0.35">
      <c r="A168" t="s">
        <v>181</v>
      </c>
      <c r="B168" s="3">
        <v>45995</v>
      </c>
      <c r="C168" t="s">
        <v>24</v>
      </c>
      <c r="D168" t="s">
        <v>11</v>
      </c>
      <c r="E168" s="4">
        <v>3437.29</v>
      </c>
      <c r="F168">
        <v>525</v>
      </c>
      <c r="G168">
        <v>158</v>
      </c>
      <c r="H168">
        <v>2025</v>
      </c>
      <c r="I168">
        <v>12</v>
      </c>
      <c r="J168" s="6">
        <v>0.30095238095238103</v>
      </c>
      <c r="K168" t="s">
        <v>312</v>
      </c>
      <c r="L168" s="4">
        <v>6.5472190476190502</v>
      </c>
      <c r="M168" s="4">
        <v>21.754999999999999</v>
      </c>
    </row>
    <row r="169" spans="1:13" ht="14.5" x14ac:dyDescent="0.35">
      <c r="A169" t="s">
        <v>182</v>
      </c>
      <c r="B169" s="3">
        <v>46107</v>
      </c>
      <c r="C169" t="s">
        <v>76</v>
      </c>
      <c r="D169" t="s">
        <v>11</v>
      </c>
      <c r="E169" s="4">
        <v>2604.7199999999998</v>
      </c>
      <c r="F169">
        <v>214</v>
      </c>
      <c r="G169">
        <v>73</v>
      </c>
      <c r="H169">
        <v>2026</v>
      </c>
      <c r="I169">
        <v>3</v>
      </c>
      <c r="J169" s="6">
        <v>0.34112149532710301</v>
      </c>
      <c r="K169" t="s">
        <v>312</v>
      </c>
      <c r="L169" s="4">
        <v>12.171588785046699</v>
      </c>
      <c r="M169" s="4">
        <v>35.681095890411001</v>
      </c>
    </row>
    <row r="170" spans="1:13" ht="14.5" x14ac:dyDescent="0.35">
      <c r="A170" t="s">
        <v>183</v>
      </c>
      <c r="B170" s="3">
        <v>46045</v>
      </c>
      <c r="C170" t="s">
        <v>15</v>
      </c>
      <c r="D170" t="s">
        <v>11</v>
      </c>
      <c r="E170" s="4">
        <v>2106.4499999999998</v>
      </c>
      <c r="F170">
        <v>520</v>
      </c>
      <c r="G170">
        <v>85</v>
      </c>
      <c r="H170">
        <v>2026</v>
      </c>
      <c r="I170">
        <v>1</v>
      </c>
      <c r="J170" s="6">
        <v>0.16346153846153899</v>
      </c>
      <c r="K170" t="s">
        <v>315</v>
      </c>
      <c r="L170" s="4">
        <v>4.0508653846153804</v>
      </c>
      <c r="M170" s="4">
        <v>24.781764705882399</v>
      </c>
    </row>
    <row r="171" spans="1:13" ht="14.5" x14ac:dyDescent="0.35">
      <c r="A171" t="s">
        <v>184</v>
      </c>
      <c r="B171" s="3">
        <v>46109</v>
      </c>
      <c r="C171" t="s">
        <v>33</v>
      </c>
      <c r="D171" t="s">
        <v>17</v>
      </c>
      <c r="E171" s="4">
        <v>3757.81</v>
      </c>
      <c r="F171">
        <v>399</v>
      </c>
      <c r="G171">
        <v>52</v>
      </c>
      <c r="H171">
        <v>2026</v>
      </c>
      <c r="I171">
        <v>3</v>
      </c>
      <c r="J171" s="6">
        <v>0.13032581453634101</v>
      </c>
      <c r="K171" t="s">
        <v>315</v>
      </c>
      <c r="L171" s="4">
        <v>9.4180701754386007</v>
      </c>
      <c r="M171" s="4">
        <v>72.265576923076907</v>
      </c>
    </row>
    <row r="172" spans="1:13" ht="14.5" x14ac:dyDescent="0.35">
      <c r="A172" t="s">
        <v>185</v>
      </c>
      <c r="B172" s="3">
        <v>45766</v>
      </c>
      <c r="C172" t="s">
        <v>19</v>
      </c>
      <c r="D172" t="s">
        <v>17</v>
      </c>
      <c r="E172" s="4">
        <v>758.47</v>
      </c>
      <c r="F172">
        <v>150</v>
      </c>
      <c r="G172">
        <v>33</v>
      </c>
      <c r="H172">
        <v>2025</v>
      </c>
      <c r="I172">
        <v>4</v>
      </c>
      <c r="J172" s="6">
        <v>0.22</v>
      </c>
      <c r="K172" t="s">
        <v>312</v>
      </c>
      <c r="L172" s="4">
        <v>5.0564666666666698</v>
      </c>
      <c r="M172" s="4">
        <v>22.983939393939401</v>
      </c>
    </row>
    <row r="173" spans="1:13" ht="14.5" x14ac:dyDescent="0.35">
      <c r="A173" t="s">
        <v>186</v>
      </c>
      <c r="B173" s="3">
        <v>45701</v>
      </c>
      <c r="C173" t="s">
        <v>10</v>
      </c>
      <c r="D173" t="s">
        <v>17</v>
      </c>
      <c r="E173" s="4">
        <v>3453.41</v>
      </c>
      <c r="F173">
        <v>860</v>
      </c>
      <c r="G173">
        <v>230</v>
      </c>
      <c r="H173">
        <v>2025</v>
      </c>
      <c r="I173">
        <v>2</v>
      </c>
      <c r="J173" s="6">
        <v>0.26744186046511598</v>
      </c>
      <c r="K173" t="s">
        <v>312</v>
      </c>
      <c r="L173" s="4">
        <v>4.0155930232558097</v>
      </c>
      <c r="M173" s="4">
        <v>15.0148260869565</v>
      </c>
    </row>
    <row r="174" spans="1:13" ht="14.5" x14ac:dyDescent="0.35">
      <c r="A174" t="s">
        <v>187</v>
      </c>
      <c r="B174" s="3">
        <v>45785</v>
      </c>
      <c r="C174" t="s">
        <v>33</v>
      </c>
      <c r="D174" t="s">
        <v>35</v>
      </c>
      <c r="E174" s="4">
        <v>3113.76</v>
      </c>
      <c r="F174">
        <v>646</v>
      </c>
      <c r="G174">
        <v>184</v>
      </c>
      <c r="H174">
        <v>2025</v>
      </c>
      <c r="I174">
        <v>5</v>
      </c>
      <c r="J174" s="6">
        <v>0.284829721362229</v>
      </c>
      <c r="K174" t="s">
        <v>312</v>
      </c>
      <c r="L174" s="4">
        <v>4.8200619195046404</v>
      </c>
      <c r="M174" s="4">
        <v>16.922608695652201</v>
      </c>
    </row>
    <row r="175" spans="1:13" ht="14.5" x14ac:dyDescent="0.35">
      <c r="A175" t="s">
        <v>189</v>
      </c>
      <c r="B175" s="3">
        <v>45747</v>
      </c>
      <c r="C175" t="s">
        <v>76</v>
      </c>
      <c r="D175" t="s">
        <v>17</v>
      </c>
      <c r="E175" s="4">
        <v>2706.78</v>
      </c>
      <c r="F175">
        <v>224</v>
      </c>
      <c r="G175">
        <v>30</v>
      </c>
      <c r="H175">
        <v>2025</v>
      </c>
      <c r="I175">
        <v>3</v>
      </c>
      <c r="J175" s="6">
        <v>0.13392857142857101</v>
      </c>
      <c r="K175" t="s">
        <v>315</v>
      </c>
      <c r="L175" s="4">
        <v>12.0838392857143</v>
      </c>
      <c r="M175" s="4">
        <v>90.225999999999999</v>
      </c>
    </row>
    <row r="176" spans="1:13" ht="14.5" x14ac:dyDescent="0.35">
      <c r="A176" t="s">
        <v>190</v>
      </c>
      <c r="B176" s="3">
        <v>45845</v>
      </c>
      <c r="C176" t="s">
        <v>33</v>
      </c>
      <c r="D176" t="s">
        <v>11</v>
      </c>
      <c r="E176" s="4">
        <v>2406.87</v>
      </c>
      <c r="F176">
        <v>496</v>
      </c>
      <c r="G176">
        <v>96</v>
      </c>
      <c r="H176">
        <v>2025</v>
      </c>
      <c r="I176">
        <v>7</v>
      </c>
      <c r="J176" s="6">
        <v>0.19354838709677399</v>
      </c>
      <c r="K176" t="s">
        <v>312</v>
      </c>
      <c r="L176" s="4">
        <v>4.8525604838709704</v>
      </c>
      <c r="M176" s="4">
        <v>25.071562499999999</v>
      </c>
    </row>
    <row r="177" spans="1:13" ht="14.5" x14ac:dyDescent="0.35">
      <c r="A177" t="s">
        <v>191</v>
      </c>
      <c r="B177" s="3">
        <v>46034</v>
      </c>
      <c r="C177" t="s">
        <v>33</v>
      </c>
      <c r="D177" t="s">
        <v>17</v>
      </c>
      <c r="E177" s="4">
        <v>2269.65</v>
      </c>
      <c r="F177">
        <v>233</v>
      </c>
      <c r="G177">
        <v>23</v>
      </c>
      <c r="H177">
        <v>2026</v>
      </c>
      <c r="I177">
        <v>1</v>
      </c>
      <c r="J177" s="6">
        <v>9.8712446351931299E-2</v>
      </c>
      <c r="K177" t="s">
        <v>315</v>
      </c>
      <c r="L177" s="4">
        <v>9.7409871244635209</v>
      </c>
      <c r="M177" s="4">
        <v>98.6804347826087</v>
      </c>
    </row>
    <row r="178" spans="1:13" ht="14.5" x14ac:dyDescent="0.35">
      <c r="A178" t="s">
        <v>192</v>
      </c>
      <c r="B178" s="3">
        <v>45883</v>
      </c>
      <c r="C178" t="s">
        <v>15</v>
      </c>
      <c r="D178" t="s">
        <v>17</v>
      </c>
      <c r="E178" s="4">
        <v>1957.35</v>
      </c>
      <c r="F178">
        <v>435</v>
      </c>
      <c r="G178">
        <v>49</v>
      </c>
      <c r="H178">
        <v>2025</v>
      </c>
      <c r="I178">
        <v>8</v>
      </c>
      <c r="J178" s="6">
        <v>0.11264367816092</v>
      </c>
      <c r="K178" t="s">
        <v>315</v>
      </c>
      <c r="L178" s="4">
        <v>4.4996551724137896</v>
      </c>
      <c r="M178" s="4">
        <v>39.945918367346898</v>
      </c>
    </row>
    <row r="179" spans="1:13" ht="14.5" x14ac:dyDescent="0.35">
      <c r="A179" t="s">
        <v>193</v>
      </c>
      <c r="B179" s="3">
        <v>46005</v>
      </c>
      <c r="C179" t="s">
        <v>15</v>
      </c>
      <c r="D179" t="s">
        <v>17</v>
      </c>
      <c r="E179" s="4">
        <v>4875.24</v>
      </c>
      <c r="F179">
        <v>1160</v>
      </c>
      <c r="G179">
        <v>174</v>
      </c>
      <c r="H179">
        <v>2025</v>
      </c>
      <c r="I179">
        <v>12</v>
      </c>
      <c r="J179" s="6">
        <v>0.15</v>
      </c>
      <c r="K179" t="s">
        <v>315</v>
      </c>
      <c r="L179" s="4">
        <v>4.2027931034482799</v>
      </c>
      <c r="M179" s="4">
        <v>28.018620689655201</v>
      </c>
    </row>
    <row r="180" spans="1:13" ht="14.5" x14ac:dyDescent="0.35">
      <c r="A180" t="s">
        <v>194</v>
      </c>
      <c r="B180" s="3">
        <v>46028</v>
      </c>
      <c r="C180" t="s">
        <v>33</v>
      </c>
      <c r="D180" t="s">
        <v>43</v>
      </c>
      <c r="E180" s="4">
        <v>1839.96</v>
      </c>
      <c r="F180">
        <v>417</v>
      </c>
      <c r="G180">
        <v>417</v>
      </c>
      <c r="H180">
        <v>2026</v>
      </c>
      <c r="I180">
        <v>1</v>
      </c>
      <c r="J180" s="6">
        <v>1</v>
      </c>
      <c r="K180" t="s">
        <v>312</v>
      </c>
      <c r="L180" s="4">
        <v>4.4123741007194299</v>
      </c>
      <c r="M180" s="4">
        <v>4.4123741007194299</v>
      </c>
    </row>
    <row r="181" spans="1:13" ht="14.5" x14ac:dyDescent="0.35">
      <c r="A181" t="s">
        <v>195</v>
      </c>
      <c r="B181" s="3">
        <v>45685</v>
      </c>
      <c r="C181" t="s">
        <v>10</v>
      </c>
      <c r="D181" t="s">
        <v>14</v>
      </c>
      <c r="E181" s="4">
        <v>4324.55</v>
      </c>
      <c r="F181">
        <v>801</v>
      </c>
      <c r="G181">
        <v>155</v>
      </c>
      <c r="H181">
        <v>2025</v>
      </c>
      <c r="I181">
        <v>1</v>
      </c>
      <c r="J181" s="6">
        <v>0.19350811485642999</v>
      </c>
      <c r="K181" t="s">
        <v>312</v>
      </c>
      <c r="L181" s="4">
        <v>5.39893882646692</v>
      </c>
      <c r="M181" s="4">
        <v>27.900322580645199</v>
      </c>
    </row>
    <row r="182" spans="1:13" ht="14.5" x14ac:dyDescent="0.35">
      <c r="A182" t="s">
        <v>196</v>
      </c>
      <c r="B182" s="3">
        <v>45955</v>
      </c>
      <c r="C182" t="s">
        <v>15</v>
      </c>
      <c r="D182" t="s">
        <v>17</v>
      </c>
      <c r="E182" s="4">
        <v>2066.77</v>
      </c>
      <c r="F182">
        <v>191</v>
      </c>
      <c r="G182">
        <v>15</v>
      </c>
      <c r="H182">
        <v>2025</v>
      </c>
      <c r="I182">
        <v>10</v>
      </c>
      <c r="J182" s="6">
        <v>7.8534031413612607E-2</v>
      </c>
      <c r="K182" t="s">
        <v>315</v>
      </c>
      <c r="L182" s="4">
        <v>10.820785340314099</v>
      </c>
      <c r="M182" s="4">
        <v>137.78466666666699</v>
      </c>
    </row>
    <row r="183" spans="1:13" ht="14.5" x14ac:dyDescent="0.35">
      <c r="A183" t="s">
        <v>197</v>
      </c>
      <c r="B183" s="3">
        <v>46103</v>
      </c>
      <c r="C183" t="s">
        <v>24</v>
      </c>
      <c r="D183" t="s">
        <v>11</v>
      </c>
      <c r="E183" s="4">
        <v>4671.55</v>
      </c>
      <c r="F183">
        <v>447</v>
      </c>
      <c r="G183">
        <v>104</v>
      </c>
      <c r="H183">
        <v>2026</v>
      </c>
      <c r="I183">
        <v>3</v>
      </c>
      <c r="J183" s="6">
        <v>0.23266219239373601</v>
      </c>
      <c r="K183" t="s">
        <v>312</v>
      </c>
      <c r="L183" s="4">
        <v>10.4508948545861</v>
      </c>
      <c r="M183" s="4">
        <v>44.918750000000003</v>
      </c>
    </row>
    <row r="184" spans="1:13" ht="14.5" x14ac:dyDescent="0.35">
      <c r="A184" t="s">
        <v>198</v>
      </c>
      <c r="B184" s="3">
        <v>46147</v>
      </c>
      <c r="C184" t="s">
        <v>15</v>
      </c>
      <c r="D184" t="s">
        <v>14</v>
      </c>
      <c r="E184" s="4">
        <v>1554.65</v>
      </c>
      <c r="F184">
        <v>330</v>
      </c>
      <c r="G184">
        <v>73</v>
      </c>
      <c r="H184">
        <v>2026</v>
      </c>
      <c r="I184">
        <v>5</v>
      </c>
      <c r="J184" s="6">
        <v>0.221212121212121</v>
      </c>
      <c r="K184" t="s">
        <v>312</v>
      </c>
      <c r="L184" s="4">
        <v>4.7110606060606104</v>
      </c>
      <c r="M184" s="4">
        <v>21.2965753424658</v>
      </c>
    </row>
    <row r="185" spans="1:13" ht="14.5" x14ac:dyDescent="0.35">
      <c r="A185" t="s">
        <v>199</v>
      </c>
      <c r="B185" s="3">
        <v>45961</v>
      </c>
      <c r="C185" t="s">
        <v>10</v>
      </c>
      <c r="D185" t="s">
        <v>11</v>
      </c>
      <c r="E185" s="4">
        <v>1486.86</v>
      </c>
      <c r="F185">
        <v>163</v>
      </c>
      <c r="G185">
        <v>44</v>
      </c>
      <c r="H185">
        <v>2025</v>
      </c>
      <c r="I185">
        <v>10</v>
      </c>
      <c r="J185" s="6">
        <v>0.26993865030674902</v>
      </c>
      <c r="K185" t="s">
        <v>312</v>
      </c>
      <c r="L185" s="4">
        <v>9.1218404907975508</v>
      </c>
      <c r="M185" s="4">
        <v>33.792272727272703</v>
      </c>
    </row>
    <row r="186" spans="1:13" ht="14.5" x14ac:dyDescent="0.35">
      <c r="A186" t="s">
        <v>200</v>
      </c>
      <c r="B186" s="3">
        <v>46149</v>
      </c>
      <c r="C186" t="s">
        <v>10</v>
      </c>
      <c r="D186" t="s">
        <v>11</v>
      </c>
      <c r="E186" s="4">
        <v>4162.01</v>
      </c>
      <c r="F186">
        <v>572</v>
      </c>
      <c r="G186">
        <v>103</v>
      </c>
      <c r="H186">
        <v>2026</v>
      </c>
      <c r="I186">
        <v>5</v>
      </c>
      <c r="J186" s="6">
        <v>0.18006993006993</v>
      </c>
      <c r="K186" t="s">
        <v>315</v>
      </c>
      <c r="L186" s="4">
        <v>7.2762412587412602</v>
      </c>
      <c r="M186" s="4">
        <v>40.407864077669899</v>
      </c>
    </row>
    <row r="187" spans="1:13" ht="14.5" x14ac:dyDescent="0.35">
      <c r="A187" t="s">
        <v>201</v>
      </c>
      <c r="B187" s="3">
        <v>45869</v>
      </c>
      <c r="C187" t="s">
        <v>19</v>
      </c>
      <c r="D187" t="s">
        <v>11</v>
      </c>
      <c r="E187" s="4">
        <v>4816.16</v>
      </c>
      <c r="F187">
        <v>1036</v>
      </c>
      <c r="G187">
        <v>207</v>
      </c>
      <c r="H187">
        <v>2025</v>
      </c>
      <c r="I187">
        <v>7</v>
      </c>
      <c r="J187" s="6">
        <v>0.19980694980694999</v>
      </c>
      <c r="K187" t="s">
        <v>312</v>
      </c>
      <c r="L187" s="4">
        <v>4.6488030888030902</v>
      </c>
      <c r="M187" s="4">
        <v>23.266473429951699</v>
      </c>
    </row>
    <row r="188" spans="1:13" ht="14.5" x14ac:dyDescent="0.35">
      <c r="A188" t="s">
        <v>202</v>
      </c>
      <c r="B188" s="3">
        <v>45709</v>
      </c>
      <c r="C188" t="s">
        <v>10</v>
      </c>
      <c r="D188" t="s">
        <v>11</v>
      </c>
      <c r="E188" s="4">
        <v>2869.4949999999999</v>
      </c>
      <c r="F188">
        <v>520</v>
      </c>
      <c r="G188">
        <v>147</v>
      </c>
      <c r="H188">
        <v>2025</v>
      </c>
      <c r="I188">
        <v>2</v>
      </c>
      <c r="J188" s="6">
        <v>0.28269230769230802</v>
      </c>
      <c r="K188" t="s">
        <v>312</v>
      </c>
      <c r="L188" s="4">
        <v>5.5182596153846202</v>
      </c>
      <c r="M188" s="4">
        <v>19.520374149659901</v>
      </c>
    </row>
    <row r="189" spans="1:13" ht="14.5" x14ac:dyDescent="0.35">
      <c r="A189" t="s">
        <v>335</v>
      </c>
      <c r="B189" s="3">
        <v>45904</v>
      </c>
      <c r="C189" t="s">
        <v>10</v>
      </c>
      <c r="D189" t="s">
        <v>17</v>
      </c>
      <c r="E189" s="4">
        <v>3197.3</v>
      </c>
      <c r="F189">
        <v>300</v>
      </c>
      <c r="G189">
        <v>78</v>
      </c>
      <c r="H189">
        <v>2025</v>
      </c>
      <c r="I189">
        <v>9</v>
      </c>
      <c r="J189" s="6">
        <v>0.26</v>
      </c>
      <c r="K189" t="s">
        <v>312</v>
      </c>
      <c r="L189" s="4">
        <v>10.657666666666699</v>
      </c>
      <c r="M189" s="4">
        <v>40.991025641025601</v>
      </c>
    </row>
    <row r="190" spans="1:13" ht="14.5" x14ac:dyDescent="0.35">
      <c r="A190" t="s">
        <v>203</v>
      </c>
      <c r="B190" s="3">
        <v>46124</v>
      </c>
      <c r="C190" t="s">
        <v>10</v>
      </c>
      <c r="D190" t="s">
        <v>43</v>
      </c>
      <c r="E190" s="4">
        <v>2869.4949999999999</v>
      </c>
      <c r="F190">
        <v>750</v>
      </c>
      <c r="G190">
        <v>183</v>
      </c>
      <c r="H190">
        <v>2026</v>
      </c>
      <c r="I190">
        <v>4</v>
      </c>
      <c r="J190" s="6">
        <v>0.24399999999999999</v>
      </c>
      <c r="K190" t="s">
        <v>312</v>
      </c>
      <c r="L190" s="4">
        <v>3.8259933333333298</v>
      </c>
      <c r="M190" s="4">
        <v>15.6803005464481</v>
      </c>
    </row>
    <row r="191" spans="1:13" ht="14.5" x14ac:dyDescent="0.35">
      <c r="A191" t="s">
        <v>336</v>
      </c>
      <c r="B191" s="3">
        <v>46118</v>
      </c>
      <c r="C191" t="s">
        <v>15</v>
      </c>
      <c r="D191" t="s">
        <v>11</v>
      </c>
      <c r="E191" s="4">
        <v>4360.6899999999996</v>
      </c>
      <c r="F191">
        <v>883</v>
      </c>
      <c r="G191">
        <v>151</v>
      </c>
      <c r="H191">
        <v>2026</v>
      </c>
      <c r="I191">
        <v>4</v>
      </c>
      <c r="J191" s="6">
        <v>0.171007927519819</v>
      </c>
      <c r="K191" t="s">
        <v>315</v>
      </c>
      <c r="L191" s="4">
        <v>4.9384937712344303</v>
      </c>
      <c r="M191" s="4">
        <v>28.878741721854301</v>
      </c>
    </row>
    <row r="192" spans="1:13" ht="14.5" x14ac:dyDescent="0.35">
      <c r="A192" t="s">
        <v>204</v>
      </c>
      <c r="B192" s="3">
        <v>46075</v>
      </c>
      <c r="C192" t="s">
        <v>10</v>
      </c>
      <c r="D192" t="s">
        <v>11</v>
      </c>
      <c r="E192" s="4">
        <v>509.05</v>
      </c>
      <c r="F192">
        <v>426</v>
      </c>
      <c r="G192">
        <v>15</v>
      </c>
      <c r="H192">
        <v>2026</v>
      </c>
      <c r="I192">
        <v>2</v>
      </c>
      <c r="J192" s="6">
        <v>3.5211267605633798E-2</v>
      </c>
      <c r="K192" t="s">
        <v>315</v>
      </c>
      <c r="L192" s="4">
        <v>1.1949530516431901</v>
      </c>
      <c r="M192" s="4">
        <v>33.936666666666703</v>
      </c>
    </row>
    <row r="193" spans="1:13" ht="14.5" x14ac:dyDescent="0.35">
      <c r="A193" t="s">
        <v>205</v>
      </c>
      <c r="B193" s="3">
        <v>45856</v>
      </c>
      <c r="C193" t="s">
        <v>76</v>
      </c>
      <c r="D193" t="s">
        <v>21</v>
      </c>
      <c r="E193" s="4">
        <v>3099.62</v>
      </c>
      <c r="F193">
        <v>260</v>
      </c>
      <c r="G193">
        <v>24</v>
      </c>
      <c r="H193">
        <v>2025</v>
      </c>
      <c r="I193">
        <v>7</v>
      </c>
      <c r="J193" s="6">
        <v>9.2307692307692299E-2</v>
      </c>
      <c r="K193" t="s">
        <v>315</v>
      </c>
      <c r="L193" s="4">
        <v>11.9216153846154</v>
      </c>
      <c r="M193" s="4">
        <v>129.150833333333</v>
      </c>
    </row>
    <row r="194" spans="1:13" ht="14.5" x14ac:dyDescent="0.35">
      <c r="A194" t="s">
        <v>206</v>
      </c>
      <c r="B194" s="3">
        <v>46046</v>
      </c>
      <c r="C194" t="s">
        <v>10</v>
      </c>
      <c r="D194" t="s">
        <v>14</v>
      </c>
      <c r="E194" s="4">
        <v>1406.28</v>
      </c>
      <c r="F194">
        <v>308</v>
      </c>
      <c r="G194">
        <v>84</v>
      </c>
      <c r="H194">
        <v>2026</v>
      </c>
      <c r="I194">
        <v>1</v>
      </c>
      <c r="J194" s="6">
        <v>0.27272727272727298</v>
      </c>
      <c r="K194" t="s">
        <v>312</v>
      </c>
      <c r="L194" s="4">
        <v>4.56584415584416</v>
      </c>
      <c r="M194" s="4">
        <v>16.7414285714286</v>
      </c>
    </row>
    <row r="195" spans="1:13" ht="14.5" x14ac:dyDescent="0.35">
      <c r="A195" t="s">
        <v>207</v>
      </c>
      <c r="B195" s="3">
        <v>46165</v>
      </c>
      <c r="C195" t="s">
        <v>15</v>
      </c>
      <c r="D195" t="s">
        <v>43</v>
      </c>
      <c r="E195" s="4">
        <v>3075.69</v>
      </c>
      <c r="F195">
        <v>253</v>
      </c>
      <c r="G195">
        <v>49</v>
      </c>
      <c r="H195">
        <v>2026</v>
      </c>
      <c r="I195">
        <v>5</v>
      </c>
      <c r="J195" s="6">
        <v>0.19367588932806301</v>
      </c>
      <c r="K195" t="s">
        <v>312</v>
      </c>
      <c r="L195" s="4">
        <v>12.156877470355701</v>
      </c>
      <c r="M195" s="4">
        <v>62.769183673469399</v>
      </c>
    </row>
    <row r="196" spans="1:13" ht="14.5" x14ac:dyDescent="0.35">
      <c r="A196" t="s">
        <v>208</v>
      </c>
      <c r="B196" s="3">
        <v>45941</v>
      </c>
      <c r="C196" t="s">
        <v>76</v>
      </c>
      <c r="D196" t="s">
        <v>11</v>
      </c>
      <c r="E196" s="4">
        <v>1058.8800000000001</v>
      </c>
      <c r="F196">
        <v>160</v>
      </c>
      <c r="G196">
        <v>10</v>
      </c>
      <c r="H196">
        <v>2025</v>
      </c>
      <c r="I196">
        <v>10</v>
      </c>
      <c r="J196" s="6">
        <v>6.25E-2</v>
      </c>
      <c r="K196" t="s">
        <v>315</v>
      </c>
      <c r="L196" s="4">
        <v>6.6180000000000003</v>
      </c>
      <c r="M196" s="4">
        <v>105.88800000000001</v>
      </c>
    </row>
    <row r="197" spans="1:13" ht="14.5" x14ac:dyDescent="0.35">
      <c r="A197" t="s">
        <v>209</v>
      </c>
      <c r="B197" s="3">
        <v>45694</v>
      </c>
      <c r="C197" t="s">
        <v>76</v>
      </c>
      <c r="D197" t="s">
        <v>11</v>
      </c>
      <c r="E197" s="4">
        <v>1708.14</v>
      </c>
      <c r="F197">
        <v>384</v>
      </c>
      <c r="G197">
        <v>30</v>
      </c>
      <c r="H197">
        <v>2025</v>
      </c>
      <c r="I197">
        <v>2</v>
      </c>
      <c r="J197" s="6">
        <v>7.8125E-2</v>
      </c>
      <c r="K197" t="s">
        <v>315</v>
      </c>
      <c r="L197" s="4">
        <v>4.44828125</v>
      </c>
      <c r="M197" s="4">
        <v>56.938000000000002</v>
      </c>
    </row>
    <row r="198" spans="1:13" ht="14.5" x14ac:dyDescent="0.35">
      <c r="A198" t="s">
        <v>210</v>
      </c>
      <c r="B198" s="3">
        <v>46066</v>
      </c>
      <c r="C198" t="s">
        <v>10</v>
      </c>
      <c r="D198" t="s">
        <v>14</v>
      </c>
      <c r="E198" s="4">
        <v>3360.35</v>
      </c>
      <c r="F198">
        <v>731</v>
      </c>
      <c r="G198">
        <v>210</v>
      </c>
      <c r="H198">
        <v>2026</v>
      </c>
      <c r="I198">
        <v>2</v>
      </c>
      <c r="J198" s="6">
        <v>0.28727770177838602</v>
      </c>
      <c r="K198" t="s">
        <v>312</v>
      </c>
      <c r="L198" s="4">
        <v>4.5969220246238001</v>
      </c>
      <c r="M198" s="4">
        <v>16.001666666666701</v>
      </c>
    </row>
    <row r="199" spans="1:13" ht="14.5" x14ac:dyDescent="0.35">
      <c r="A199" t="s">
        <v>211</v>
      </c>
      <c r="B199" s="3">
        <v>46132</v>
      </c>
      <c r="C199" t="s">
        <v>15</v>
      </c>
      <c r="D199" t="s">
        <v>17</v>
      </c>
      <c r="E199" s="4">
        <v>4637.84</v>
      </c>
      <c r="F199">
        <v>586</v>
      </c>
      <c r="G199">
        <v>67</v>
      </c>
      <c r="H199">
        <v>2026</v>
      </c>
      <c r="I199">
        <v>4</v>
      </c>
      <c r="J199" s="6">
        <v>0.114334470989761</v>
      </c>
      <c r="K199" t="s">
        <v>315</v>
      </c>
      <c r="L199" s="4">
        <v>7.9144027303754303</v>
      </c>
      <c r="M199" s="4">
        <v>69.221492537313395</v>
      </c>
    </row>
    <row r="200" spans="1:13" ht="14.5" x14ac:dyDescent="0.35">
      <c r="A200" t="s">
        <v>212</v>
      </c>
      <c r="B200" s="3">
        <v>46225</v>
      </c>
      <c r="C200" t="s">
        <v>15</v>
      </c>
      <c r="D200" t="s">
        <v>17</v>
      </c>
      <c r="E200" s="4">
        <v>2869.4949999999999</v>
      </c>
      <c r="F200">
        <v>756</v>
      </c>
      <c r="G200">
        <v>94</v>
      </c>
      <c r="H200">
        <v>2026</v>
      </c>
      <c r="I200">
        <v>7</v>
      </c>
      <c r="J200" s="6">
        <v>0.124338624338624</v>
      </c>
      <c r="K200" t="s">
        <v>315</v>
      </c>
      <c r="L200" s="4">
        <v>3.7956283068783101</v>
      </c>
      <c r="M200" s="4">
        <v>30.526542553191501</v>
      </c>
    </row>
    <row r="201" spans="1:13" ht="14.5" x14ac:dyDescent="0.35">
      <c r="A201" t="s">
        <v>213</v>
      </c>
      <c r="B201" s="3">
        <v>46101</v>
      </c>
      <c r="C201" t="s">
        <v>15</v>
      </c>
      <c r="D201" t="s">
        <v>17</v>
      </c>
      <c r="E201" s="4">
        <v>564.82000000000005</v>
      </c>
      <c r="F201">
        <v>92</v>
      </c>
      <c r="G201">
        <v>16</v>
      </c>
      <c r="H201">
        <v>2026</v>
      </c>
      <c r="I201">
        <v>3</v>
      </c>
      <c r="J201" s="6">
        <v>0.173913043478261</v>
      </c>
      <c r="K201" t="s">
        <v>315</v>
      </c>
      <c r="L201" s="4">
        <v>6.1393478260869596</v>
      </c>
      <c r="M201" s="4">
        <v>35.301250000000003</v>
      </c>
    </row>
    <row r="202" spans="1:13" ht="14.5" x14ac:dyDescent="0.35">
      <c r="A202" t="s">
        <v>214</v>
      </c>
      <c r="B202" s="3">
        <v>46050</v>
      </c>
      <c r="C202" t="s">
        <v>19</v>
      </c>
      <c r="D202" t="s">
        <v>21</v>
      </c>
      <c r="E202" s="4">
        <v>4084.51</v>
      </c>
      <c r="F202">
        <v>978</v>
      </c>
      <c r="G202">
        <v>175</v>
      </c>
      <c r="H202">
        <v>2026</v>
      </c>
      <c r="I202">
        <v>1</v>
      </c>
      <c r="J202" s="6">
        <v>0.178936605316973</v>
      </c>
      <c r="K202" t="s">
        <v>315</v>
      </c>
      <c r="L202" s="4">
        <v>4.1763905930470404</v>
      </c>
      <c r="M202" s="4">
        <v>23.340057142857098</v>
      </c>
    </row>
    <row r="203" spans="1:13" ht="14.5" x14ac:dyDescent="0.35">
      <c r="A203" t="s">
        <v>215</v>
      </c>
      <c r="B203" s="3">
        <v>45926</v>
      </c>
      <c r="C203" t="s">
        <v>33</v>
      </c>
      <c r="D203" t="s">
        <v>17</v>
      </c>
      <c r="E203" s="4">
        <v>2963.92</v>
      </c>
      <c r="F203">
        <v>728</v>
      </c>
      <c r="G203">
        <v>109</v>
      </c>
      <c r="H203">
        <v>2025</v>
      </c>
      <c r="I203">
        <v>9</v>
      </c>
      <c r="J203" s="6">
        <v>0.149725274725275</v>
      </c>
      <c r="K203" t="s">
        <v>315</v>
      </c>
      <c r="L203" s="4">
        <v>4.0713186813186804</v>
      </c>
      <c r="M203" s="4">
        <v>27.191926605504602</v>
      </c>
    </row>
    <row r="204" spans="1:13" ht="14.5" x14ac:dyDescent="0.35">
      <c r="A204" t="s">
        <v>216</v>
      </c>
      <c r="B204" s="3">
        <v>45987</v>
      </c>
      <c r="C204" t="s">
        <v>19</v>
      </c>
      <c r="D204" t="s">
        <v>14</v>
      </c>
      <c r="E204" s="4">
        <v>4031.15</v>
      </c>
      <c r="F204">
        <v>324</v>
      </c>
      <c r="G204">
        <v>73</v>
      </c>
      <c r="H204">
        <v>2025</v>
      </c>
      <c r="I204">
        <v>11</v>
      </c>
      <c r="J204" s="6">
        <v>0.225308641975309</v>
      </c>
      <c r="K204" t="s">
        <v>312</v>
      </c>
      <c r="L204" s="4">
        <v>12.4418209876543</v>
      </c>
      <c r="M204" s="4">
        <v>55.2212328767123</v>
      </c>
    </row>
    <row r="205" spans="1:13" ht="14.5" x14ac:dyDescent="0.35">
      <c r="A205" t="s">
        <v>217</v>
      </c>
      <c r="B205" s="3">
        <v>45941</v>
      </c>
      <c r="C205" t="s">
        <v>15</v>
      </c>
      <c r="D205" t="s">
        <v>14</v>
      </c>
      <c r="E205" s="4">
        <v>2638.6</v>
      </c>
      <c r="F205">
        <v>350</v>
      </c>
      <c r="G205">
        <v>52</v>
      </c>
      <c r="H205">
        <v>2025</v>
      </c>
      <c r="I205">
        <v>10</v>
      </c>
      <c r="J205" s="6">
        <v>0.14857142857142899</v>
      </c>
      <c r="K205" t="s">
        <v>315</v>
      </c>
      <c r="L205" s="4">
        <v>7.5388571428571396</v>
      </c>
      <c r="M205" s="4">
        <v>50.742307692307698</v>
      </c>
    </row>
    <row r="206" spans="1:13" ht="14.5" x14ac:dyDescent="0.35">
      <c r="A206" t="s">
        <v>218</v>
      </c>
      <c r="B206" s="3">
        <v>45682</v>
      </c>
      <c r="C206" t="s">
        <v>76</v>
      </c>
      <c r="D206" t="s">
        <v>11</v>
      </c>
      <c r="E206" s="4">
        <v>3839.36</v>
      </c>
      <c r="F206">
        <v>676</v>
      </c>
      <c r="G206">
        <v>32</v>
      </c>
      <c r="H206">
        <v>2025</v>
      </c>
      <c r="I206">
        <v>1</v>
      </c>
      <c r="J206" s="6">
        <v>4.7337278106508902E-2</v>
      </c>
      <c r="K206" t="s">
        <v>315</v>
      </c>
      <c r="L206" s="4">
        <v>5.67952662721894</v>
      </c>
      <c r="M206" s="4">
        <v>119.98</v>
      </c>
    </row>
    <row r="207" spans="1:13" ht="14.5" x14ac:dyDescent="0.35">
      <c r="A207" t="s">
        <v>219</v>
      </c>
      <c r="B207" s="3">
        <v>45709</v>
      </c>
      <c r="C207" t="s">
        <v>15</v>
      </c>
      <c r="D207" t="s">
        <v>11</v>
      </c>
      <c r="E207" s="4">
        <v>419.97</v>
      </c>
      <c r="F207">
        <v>46</v>
      </c>
      <c r="G207">
        <v>6</v>
      </c>
      <c r="H207">
        <v>2025</v>
      </c>
      <c r="I207">
        <v>2</v>
      </c>
      <c r="J207" s="6">
        <v>0.13043478260869601</v>
      </c>
      <c r="K207" t="s">
        <v>315</v>
      </c>
      <c r="L207" s="4">
        <v>9.1297826086956508</v>
      </c>
      <c r="M207" s="4">
        <v>69.995000000000005</v>
      </c>
    </row>
    <row r="208" spans="1:13" ht="14.5" x14ac:dyDescent="0.35">
      <c r="A208" t="s">
        <v>220</v>
      </c>
      <c r="B208" s="3">
        <v>45660</v>
      </c>
      <c r="C208" t="s">
        <v>15</v>
      </c>
      <c r="D208" t="s">
        <v>11</v>
      </c>
      <c r="E208" s="4">
        <v>2033.78</v>
      </c>
      <c r="F208">
        <v>454</v>
      </c>
      <c r="G208">
        <v>63</v>
      </c>
      <c r="H208">
        <v>2025</v>
      </c>
      <c r="I208">
        <v>1</v>
      </c>
      <c r="J208" s="6">
        <v>0.13876651982378899</v>
      </c>
      <c r="K208" t="s">
        <v>315</v>
      </c>
      <c r="L208" s="4">
        <v>4.4796916299559504</v>
      </c>
      <c r="M208" s="4">
        <v>32.282222222222202</v>
      </c>
    </row>
    <row r="209" spans="1:13" ht="14.5" x14ac:dyDescent="0.35">
      <c r="A209" t="s">
        <v>221</v>
      </c>
      <c r="B209" s="3">
        <v>45830</v>
      </c>
      <c r="C209" t="s">
        <v>19</v>
      </c>
      <c r="D209" t="s">
        <v>17</v>
      </c>
      <c r="E209" s="4">
        <v>2615.8200000000002</v>
      </c>
      <c r="F209">
        <v>529</v>
      </c>
      <c r="G209">
        <v>102</v>
      </c>
      <c r="H209">
        <v>2025</v>
      </c>
      <c r="I209">
        <v>6</v>
      </c>
      <c r="J209" s="6">
        <v>0.19281663516068101</v>
      </c>
      <c r="K209" t="s">
        <v>312</v>
      </c>
      <c r="L209" s="4">
        <v>4.9448393194706997</v>
      </c>
      <c r="M209" s="4">
        <v>25.645294117647101</v>
      </c>
    </row>
    <row r="210" spans="1:13" ht="14.5" x14ac:dyDescent="0.35">
      <c r="A210" t="s">
        <v>222</v>
      </c>
      <c r="B210" s="3">
        <v>46218</v>
      </c>
      <c r="C210" t="s">
        <v>10</v>
      </c>
      <c r="D210" t="s">
        <v>21</v>
      </c>
      <c r="E210" s="4">
        <v>4146.0600000000004</v>
      </c>
      <c r="F210">
        <v>668</v>
      </c>
      <c r="G210">
        <v>192</v>
      </c>
      <c r="H210">
        <v>2026</v>
      </c>
      <c r="I210">
        <v>7</v>
      </c>
      <c r="J210" s="6">
        <v>0.28742514970059901</v>
      </c>
      <c r="K210" t="s">
        <v>312</v>
      </c>
      <c r="L210" s="4">
        <v>6.2066766467065904</v>
      </c>
      <c r="M210" s="4">
        <v>21.5940625</v>
      </c>
    </row>
    <row r="211" spans="1:13" ht="14.5" x14ac:dyDescent="0.35">
      <c r="A211" t="s">
        <v>223</v>
      </c>
      <c r="B211" s="3">
        <v>45797</v>
      </c>
      <c r="C211" t="s">
        <v>19</v>
      </c>
      <c r="D211" t="s">
        <v>35</v>
      </c>
      <c r="E211" s="4">
        <v>2869.4949999999999</v>
      </c>
      <c r="F211">
        <v>64</v>
      </c>
      <c r="G211">
        <v>12</v>
      </c>
      <c r="H211">
        <v>2025</v>
      </c>
      <c r="I211">
        <v>5</v>
      </c>
      <c r="J211" s="6">
        <v>0.1875</v>
      </c>
      <c r="K211" t="s">
        <v>315</v>
      </c>
      <c r="L211" s="4">
        <v>44.835859374999998</v>
      </c>
      <c r="M211" s="4">
        <v>239.12458333333299</v>
      </c>
    </row>
    <row r="212" spans="1:13" ht="14.5" x14ac:dyDescent="0.35">
      <c r="A212" t="s">
        <v>224</v>
      </c>
      <c r="B212" s="3">
        <v>46157</v>
      </c>
      <c r="C212" t="s">
        <v>15</v>
      </c>
      <c r="D212" t="s">
        <v>11</v>
      </c>
      <c r="E212" s="4">
        <v>3851.93</v>
      </c>
      <c r="F212">
        <v>472</v>
      </c>
      <c r="G212">
        <v>37</v>
      </c>
      <c r="H212">
        <v>2026</v>
      </c>
      <c r="I212">
        <v>5</v>
      </c>
      <c r="J212" s="6">
        <v>7.8389830508474603E-2</v>
      </c>
      <c r="K212" t="s">
        <v>315</v>
      </c>
      <c r="L212" s="4">
        <v>8.1608686440678007</v>
      </c>
      <c r="M212" s="4">
        <v>104.106216216216</v>
      </c>
    </row>
    <row r="213" spans="1:13" ht="14.5" x14ac:dyDescent="0.35">
      <c r="A213" t="s">
        <v>337</v>
      </c>
      <c r="B213" s="3">
        <v>46043</v>
      </c>
      <c r="C213" t="s">
        <v>10</v>
      </c>
      <c r="D213" t="s">
        <v>43</v>
      </c>
      <c r="E213" s="4">
        <v>2903.71</v>
      </c>
      <c r="F213">
        <v>352</v>
      </c>
      <c r="G213">
        <v>114</v>
      </c>
      <c r="H213">
        <v>2026</v>
      </c>
      <c r="I213">
        <v>1</v>
      </c>
      <c r="J213" s="6">
        <v>0.32386363636363602</v>
      </c>
      <c r="K213" t="s">
        <v>312</v>
      </c>
      <c r="L213" s="4">
        <v>8.2491761363636407</v>
      </c>
      <c r="M213" s="4">
        <v>25.471140350877199</v>
      </c>
    </row>
    <row r="214" spans="1:13" ht="14.5" x14ac:dyDescent="0.35">
      <c r="A214" t="s">
        <v>225</v>
      </c>
      <c r="B214" s="3">
        <v>46154</v>
      </c>
      <c r="C214" t="s">
        <v>10</v>
      </c>
      <c r="D214" t="s">
        <v>14</v>
      </c>
      <c r="E214" s="4">
        <v>2869.4949999999999</v>
      </c>
      <c r="F214">
        <v>501</v>
      </c>
      <c r="G214">
        <v>140</v>
      </c>
      <c r="H214">
        <v>2026</v>
      </c>
      <c r="I214">
        <v>5</v>
      </c>
      <c r="J214" s="6">
        <v>0.279441117764471</v>
      </c>
      <c r="K214" t="s">
        <v>312</v>
      </c>
      <c r="L214" s="4">
        <v>5.7275349301397203</v>
      </c>
      <c r="M214" s="4">
        <v>20.496392857142901</v>
      </c>
    </row>
    <row r="215" spans="1:13" ht="14.5" x14ac:dyDescent="0.35">
      <c r="A215" t="s">
        <v>226</v>
      </c>
      <c r="B215" s="3">
        <v>45838</v>
      </c>
      <c r="C215" t="s">
        <v>19</v>
      </c>
      <c r="D215" t="s">
        <v>11</v>
      </c>
      <c r="E215" s="4">
        <v>4645.7299999999996</v>
      </c>
      <c r="F215">
        <v>402</v>
      </c>
      <c r="G215">
        <v>96</v>
      </c>
      <c r="H215">
        <v>2025</v>
      </c>
      <c r="I215">
        <v>6</v>
      </c>
      <c r="J215" s="6">
        <v>0.238805970149254</v>
      </c>
      <c r="K215" t="s">
        <v>312</v>
      </c>
      <c r="L215" s="4">
        <v>11.5565422885572</v>
      </c>
      <c r="M215" s="4">
        <v>48.393020833333303</v>
      </c>
    </row>
    <row r="216" spans="1:13" ht="14.5" x14ac:dyDescent="0.35">
      <c r="A216" t="s">
        <v>227</v>
      </c>
      <c r="B216" s="3">
        <v>46207</v>
      </c>
      <c r="C216" t="s">
        <v>15</v>
      </c>
      <c r="D216" t="s">
        <v>11</v>
      </c>
      <c r="E216" s="4">
        <v>3317.64</v>
      </c>
      <c r="F216">
        <v>470</v>
      </c>
      <c r="G216">
        <v>42</v>
      </c>
      <c r="H216">
        <v>2026</v>
      </c>
      <c r="I216">
        <v>7</v>
      </c>
      <c r="J216" s="6">
        <v>8.9361702127659606E-2</v>
      </c>
      <c r="K216" t="s">
        <v>315</v>
      </c>
      <c r="L216" s="4">
        <v>7.0588085106382996</v>
      </c>
      <c r="M216" s="4">
        <v>78.9914285714286</v>
      </c>
    </row>
    <row r="217" spans="1:13" ht="14.5" x14ac:dyDescent="0.35">
      <c r="A217" t="s">
        <v>228</v>
      </c>
      <c r="B217" s="3">
        <v>45725</v>
      </c>
      <c r="C217" t="s">
        <v>10</v>
      </c>
      <c r="D217" t="s">
        <v>17</v>
      </c>
      <c r="E217" s="4">
        <v>1789.2</v>
      </c>
      <c r="F217">
        <v>221</v>
      </c>
      <c r="G217">
        <v>73</v>
      </c>
      <c r="H217">
        <v>2025</v>
      </c>
      <c r="I217">
        <v>3</v>
      </c>
      <c r="J217" s="6">
        <v>0.33031674208144801</v>
      </c>
      <c r="K217" t="s">
        <v>312</v>
      </c>
      <c r="L217" s="4">
        <v>8.0959276018099509</v>
      </c>
      <c r="M217" s="4">
        <v>24.5095890410959</v>
      </c>
    </row>
    <row r="218" spans="1:13" ht="14.5" x14ac:dyDescent="0.35">
      <c r="A218" t="s">
        <v>229</v>
      </c>
      <c r="B218" s="3">
        <v>46059</v>
      </c>
      <c r="C218" t="s">
        <v>10</v>
      </c>
      <c r="D218" t="s">
        <v>21</v>
      </c>
      <c r="E218" s="4">
        <v>2206.5300000000002</v>
      </c>
      <c r="F218">
        <v>239</v>
      </c>
      <c r="G218">
        <v>52</v>
      </c>
      <c r="H218">
        <v>2026</v>
      </c>
      <c r="I218">
        <v>2</v>
      </c>
      <c r="J218" s="6">
        <v>0.21757322175732199</v>
      </c>
      <c r="K218" t="s">
        <v>312</v>
      </c>
      <c r="L218" s="4">
        <v>9.2323430962343096</v>
      </c>
      <c r="M218" s="4">
        <v>42.433269230769199</v>
      </c>
    </row>
    <row r="219" spans="1:13" ht="14.5" x14ac:dyDescent="0.35">
      <c r="A219" t="s">
        <v>230</v>
      </c>
      <c r="B219" s="3">
        <v>45780</v>
      </c>
      <c r="C219" t="s">
        <v>10</v>
      </c>
      <c r="D219" t="s">
        <v>17</v>
      </c>
      <c r="E219" s="4">
        <v>2558.88</v>
      </c>
      <c r="F219">
        <v>239</v>
      </c>
      <c r="G219">
        <v>64</v>
      </c>
      <c r="H219">
        <v>2025</v>
      </c>
      <c r="I219">
        <v>5</v>
      </c>
      <c r="J219" s="6">
        <v>0.26778242677824299</v>
      </c>
      <c r="K219" t="s">
        <v>312</v>
      </c>
      <c r="L219" s="4">
        <v>10.706610878661101</v>
      </c>
      <c r="M219" s="4">
        <v>39.982500000000002</v>
      </c>
    </row>
    <row r="220" spans="1:13" ht="14.5" x14ac:dyDescent="0.35">
      <c r="A220" t="s">
        <v>231</v>
      </c>
      <c r="B220" s="3">
        <v>45941</v>
      </c>
      <c r="C220" t="s">
        <v>10</v>
      </c>
      <c r="D220" t="s">
        <v>14</v>
      </c>
      <c r="E220" s="4">
        <v>285.8</v>
      </c>
      <c r="F220">
        <v>69</v>
      </c>
      <c r="G220">
        <v>16</v>
      </c>
      <c r="H220">
        <v>2025</v>
      </c>
      <c r="I220">
        <v>10</v>
      </c>
      <c r="J220" s="6">
        <v>0.231884057971015</v>
      </c>
      <c r="K220" t="s">
        <v>312</v>
      </c>
      <c r="L220" s="4">
        <v>4.1420289855072498</v>
      </c>
      <c r="M220" s="4">
        <v>17.862500000000001</v>
      </c>
    </row>
    <row r="221" spans="1:13" ht="14.5" x14ac:dyDescent="0.35">
      <c r="A221" t="s">
        <v>232</v>
      </c>
      <c r="B221" s="3">
        <v>45941</v>
      </c>
      <c r="C221" t="s">
        <v>76</v>
      </c>
      <c r="D221" t="s">
        <v>21</v>
      </c>
      <c r="E221" s="4">
        <v>4400.18</v>
      </c>
      <c r="F221">
        <v>973</v>
      </c>
      <c r="G221">
        <v>59</v>
      </c>
      <c r="H221">
        <v>2025</v>
      </c>
      <c r="I221">
        <v>10</v>
      </c>
      <c r="J221" s="6">
        <v>6.0637204522096602E-2</v>
      </c>
      <c r="K221" t="s">
        <v>315</v>
      </c>
      <c r="L221" s="4">
        <v>4.5222816032887998</v>
      </c>
      <c r="M221" s="4">
        <v>74.579322033898293</v>
      </c>
    </row>
    <row r="222" spans="1:13" ht="14.5" x14ac:dyDescent="0.35">
      <c r="A222" t="s">
        <v>233</v>
      </c>
      <c r="B222" s="3">
        <v>45830</v>
      </c>
      <c r="C222" t="s">
        <v>10</v>
      </c>
      <c r="D222" t="s">
        <v>21</v>
      </c>
      <c r="E222" s="4">
        <v>405.35</v>
      </c>
      <c r="F222">
        <v>51</v>
      </c>
      <c r="G222">
        <v>12</v>
      </c>
      <c r="H222">
        <v>2025</v>
      </c>
      <c r="I222">
        <v>6</v>
      </c>
      <c r="J222" s="6">
        <v>0.23529411764705899</v>
      </c>
      <c r="K222" t="s">
        <v>312</v>
      </c>
      <c r="L222" s="4">
        <v>7.94803921568628</v>
      </c>
      <c r="M222" s="4">
        <v>33.779166666666697</v>
      </c>
    </row>
    <row r="223" spans="1:13" ht="14.5" x14ac:dyDescent="0.35">
      <c r="A223" t="s">
        <v>234</v>
      </c>
      <c r="B223" s="3">
        <v>45986</v>
      </c>
      <c r="C223" t="s">
        <v>76</v>
      </c>
      <c r="D223" t="s">
        <v>17</v>
      </c>
      <c r="E223" s="4">
        <v>2575.3200000000002</v>
      </c>
      <c r="F223">
        <v>228</v>
      </c>
      <c r="G223">
        <v>28</v>
      </c>
      <c r="H223">
        <v>2025</v>
      </c>
      <c r="I223">
        <v>11</v>
      </c>
      <c r="J223" s="6">
        <v>0.12280701754386</v>
      </c>
      <c r="K223" t="s">
        <v>315</v>
      </c>
      <c r="L223" s="4">
        <v>11.2952631578947</v>
      </c>
      <c r="M223" s="4">
        <v>91.975714285714304</v>
      </c>
    </row>
    <row r="224" spans="1:13" ht="14.5" x14ac:dyDescent="0.35">
      <c r="A224" t="s">
        <v>235</v>
      </c>
      <c r="B224" s="3">
        <v>45912</v>
      </c>
      <c r="C224" t="s">
        <v>10</v>
      </c>
      <c r="D224" t="s">
        <v>11</v>
      </c>
      <c r="E224" s="4">
        <v>4144.67</v>
      </c>
      <c r="F224">
        <v>426</v>
      </c>
      <c r="G224">
        <v>185</v>
      </c>
      <c r="H224">
        <v>2025</v>
      </c>
      <c r="I224">
        <v>9</v>
      </c>
      <c r="J224" s="6">
        <v>0.43427230046948401</v>
      </c>
      <c r="K224" t="s">
        <v>312</v>
      </c>
      <c r="L224" s="4">
        <v>9.7292723004694803</v>
      </c>
      <c r="M224" s="4">
        <v>22.4036216216216</v>
      </c>
    </row>
    <row r="225" spans="1:13" ht="14.5" x14ac:dyDescent="0.35">
      <c r="A225" t="s">
        <v>338</v>
      </c>
      <c r="B225" s="3">
        <v>45985</v>
      </c>
      <c r="C225" t="s">
        <v>10</v>
      </c>
      <c r="D225" t="s">
        <v>17</v>
      </c>
      <c r="E225" s="4">
        <v>1564.78</v>
      </c>
      <c r="F225">
        <v>365</v>
      </c>
      <c r="G225">
        <v>105</v>
      </c>
      <c r="H225">
        <v>2025</v>
      </c>
      <c r="I225">
        <v>11</v>
      </c>
      <c r="J225" s="6">
        <v>0.28767123287671198</v>
      </c>
      <c r="K225" t="s">
        <v>312</v>
      </c>
      <c r="L225" s="4">
        <v>4.2870684931506897</v>
      </c>
      <c r="M225" s="4">
        <v>14.9026666666667</v>
      </c>
    </row>
    <row r="226" spans="1:13" ht="14.5" x14ac:dyDescent="0.35">
      <c r="A226" t="s">
        <v>236</v>
      </c>
      <c r="B226" s="3">
        <v>46215</v>
      </c>
      <c r="C226" t="s">
        <v>76</v>
      </c>
      <c r="D226" t="s">
        <v>11</v>
      </c>
      <c r="E226" s="4">
        <v>3332.51</v>
      </c>
      <c r="F226">
        <v>781</v>
      </c>
      <c r="G226">
        <v>107</v>
      </c>
      <c r="H226">
        <v>2026</v>
      </c>
      <c r="I226">
        <v>7</v>
      </c>
      <c r="J226" s="6">
        <v>0.13700384122919301</v>
      </c>
      <c r="K226" t="s">
        <v>315</v>
      </c>
      <c r="L226" s="4">
        <v>4.2669782330345702</v>
      </c>
      <c r="M226" s="4">
        <v>31.144953271028001</v>
      </c>
    </row>
    <row r="227" spans="1:13" ht="14.5" x14ac:dyDescent="0.35">
      <c r="A227" t="s">
        <v>237</v>
      </c>
      <c r="B227" s="3">
        <v>45692</v>
      </c>
      <c r="C227" t="s">
        <v>10</v>
      </c>
      <c r="D227" t="s">
        <v>14</v>
      </c>
      <c r="E227" s="4">
        <v>3849.68</v>
      </c>
      <c r="F227">
        <v>650</v>
      </c>
      <c r="G227">
        <v>159</v>
      </c>
      <c r="H227">
        <v>2025</v>
      </c>
      <c r="I227">
        <v>2</v>
      </c>
      <c r="J227" s="6">
        <v>0.24461538461538501</v>
      </c>
      <c r="K227" t="s">
        <v>312</v>
      </c>
      <c r="L227" s="4">
        <v>5.9225846153846202</v>
      </c>
      <c r="M227" s="4">
        <v>24.211823899371101</v>
      </c>
    </row>
    <row r="228" spans="1:13" ht="14.5" x14ac:dyDescent="0.35">
      <c r="A228" t="s">
        <v>238</v>
      </c>
      <c r="B228" s="3">
        <v>45777</v>
      </c>
      <c r="C228" t="s">
        <v>10</v>
      </c>
      <c r="D228" t="s">
        <v>43</v>
      </c>
      <c r="E228" s="4">
        <v>1025.83</v>
      </c>
      <c r="F228">
        <v>98</v>
      </c>
      <c r="G228">
        <v>26</v>
      </c>
      <c r="H228">
        <v>2025</v>
      </c>
      <c r="I228">
        <v>4</v>
      </c>
      <c r="J228" s="6">
        <v>0.26530612244898</v>
      </c>
      <c r="K228" t="s">
        <v>312</v>
      </c>
      <c r="L228" s="4">
        <v>10.4676530612245</v>
      </c>
      <c r="M228" s="4">
        <v>39.454999999999998</v>
      </c>
    </row>
    <row r="229" spans="1:13" ht="14.5" x14ac:dyDescent="0.35">
      <c r="A229" t="s">
        <v>239</v>
      </c>
      <c r="B229" s="3">
        <v>45836</v>
      </c>
      <c r="C229" t="s">
        <v>24</v>
      </c>
      <c r="D229" t="s">
        <v>17</v>
      </c>
      <c r="E229" s="4">
        <v>2097.84</v>
      </c>
      <c r="F229">
        <v>308</v>
      </c>
      <c r="G229">
        <v>81</v>
      </c>
      <c r="H229">
        <v>2025</v>
      </c>
      <c r="I229">
        <v>6</v>
      </c>
      <c r="J229" s="6">
        <v>0.26298701298701299</v>
      </c>
      <c r="K229" t="s">
        <v>312</v>
      </c>
      <c r="L229" s="4">
        <v>6.8111688311688301</v>
      </c>
      <c r="M229" s="4">
        <v>25.899259259259299</v>
      </c>
    </row>
    <row r="230" spans="1:13" ht="14.5" x14ac:dyDescent="0.35">
      <c r="A230" t="s">
        <v>240</v>
      </c>
      <c r="B230" s="3">
        <v>46205</v>
      </c>
      <c r="C230" t="s">
        <v>24</v>
      </c>
      <c r="D230" t="s">
        <v>11</v>
      </c>
      <c r="E230" s="4">
        <v>614.20000000000005</v>
      </c>
      <c r="F230">
        <v>426</v>
      </c>
      <c r="G230">
        <v>24</v>
      </c>
      <c r="H230">
        <v>2026</v>
      </c>
      <c r="I230">
        <v>7</v>
      </c>
      <c r="J230" s="6">
        <v>5.63380281690141E-2</v>
      </c>
      <c r="K230" t="s">
        <v>315</v>
      </c>
      <c r="L230" s="4">
        <v>1.4417840375586899</v>
      </c>
      <c r="M230" s="4">
        <v>25.591666666666701</v>
      </c>
    </row>
    <row r="231" spans="1:13" ht="14.5" x14ac:dyDescent="0.35">
      <c r="A231" t="s">
        <v>241</v>
      </c>
      <c r="B231" s="3">
        <v>45923</v>
      </c>
      <c r="C231" t="s">
        <v>10</v>
      </c>
      <c r="D231" t="s">
        <v>11</v>
      </c>
      <c r="E231" s="4">
        <v>260.11</v>
      </c>
      <c r="F231">
        <v>48</v>
      </c>
      <c r="G231">
        <v>48</v>
      </c>
      <c r="H231">
        <v>2025</v>
      </c>
      <c r="I231">
        <v>9</v>
      </c>
      <c r="J231" s="6">
        <v>1</v>
      </c>
      <c r="K231" t="s">
        <v>312</v>
      </c>
      <c r="L231" s="4">
        <v>5.4189583333333298</v>
      </c>
      <c r="M231" s="4">
        <v>5.4189583333333298</v>
      </c>
    </row>
    <row r="232" spans="1:13" ht="14.5" x14ac:dyDescent="0.35">
      <c r="A232" t="s">
        <v>243</v>
      </c>
      <c r="B232" s="3">
        <v>46203</v>
      </c>
      <c r="C232" t="s">
        <v>15</v>
      </c>
      <c r="D232" t="s">
        <v>14</v>
      </c>
      <c r="E232" s="4">
        <v>4747.93</v>
      </c>
      <c r="F232">
        <v>1026</v>
      </c>
      <c r="G232">
        <v>112</v>
      </c>
      <c r="H232">
        <v>2026</v>
      </c>
      <c r="I232">
        <v>6</v>
      </c>
      <c r="J232" s="6">
        <v>0.10916179337232</v>
      </c>
      <c r="K232" t="s">
        <v>315</v>
      </c>
      <c r="L232" s="4">
        <v>4.6276120857699796</v>
      </c>
      <c r="M232" s="4">
        <v>42.392232142857203</v>
      </c>
    </row>
    <row r="233" spans="1:13" ht="14.5" x14ac:dyDescent="0.35">
      <c r="A233" t="s">
        <v>244</v>
      </c>
      <c r="B233" s="3">
        <v>46020</v>
      </c>
      <c r="C233" t="s">
        <v>76</v>
      </c>
      <c r="D233" t="s">
        <v>11</v>
      </c>
      <c r="E233" s="4">
        <v>4762.8900000000003</v>
      </c>
      <c r="F233">
        <v>976</v>
      </c>
      <c r="G233">
        <v>131</v>
      </c>
      <c r="H233">
        <v>2025</v>
      </c>
      <c r="I233">
        <v>12</v>
      </c>
      <c r="J233" s="6">
        <v>0.13422131147541</v>
      </c>
      <c r="K233" t="s">
        <v>315</v>
      </c>
      <c r="L233" s="4">
        <v>4.8800102459016399</v>
      </c>
      <c r="M233" s="4">
        <v>36.357938931297703</v>
      </c>
    </row>
    <row r="234" spans="1:13" ht="14.5" x14ac:dyDescent="0.35">
      <c r="A234" t="s">
        <v>245</v>
      </c>
      <c r="B234" s="3">
        <v>46113</v>
      </c>
      <c r="C234" t="s">
        <v>10</v>
      </c>
      <c r="D234" t="s">
        <v>11</v>
      </c>
      <c r="E234" s="4">
        <v>2584.02</v>
      </c>
      <c r="F234">
        <v>362</v>
      </c>
      <c r="G234">
        <v>97</v>
      </c>
      <c r="H234">
        <v>2026</v>
      </c>
      <c r="I234">
        <v>4</v>
      </c>
      <c r="J234" s="6">
        <v>0.26795580110497202</v>
      </c>
      <c r="K234" t="s">
        <v>312</v>
      </c>
      <c r="L234" s="4">
        <v>7.1381767955801099</v>
      </c>
      <c r="M234" s="4">
        <v>26.639381443299001</v>
      </c>
    </row>
    <row r="235" spans="1:13" ht="14.5" x14ac:dyDescent="0.35">
      <c r="A235" t="s">
        <v>246</v>
      </c>
      <c r="B235" s="3">
        <v>46112</v>
      </c>
      <c r="C235" t="s">
        <v>24</v>
      </c>
      <c r="D235" t="s">
        <v>43</v>
      </c>
      <c r="E235" s="4">
        <v>4009.21</v>
      </c>
      <c r="F235">
        <v>513</v>
      </c>
      <c r="G235">
        <v>143</v>
      </c>
      <c r="H235">
        <v>2026</v>
      </c>
      <c r="I235">
        <v>3</v>
      </c>
      <c r="J235" s="6">
        <v>0.27875243664717397</v>
      </c>
      <c r="K235" t="s">
        <v>312</v>
      </c>
      <c r="L235" s="4">
        <v>7.8152241715399597</v>
      </c>
      <c r="M235" s="4">
        <v>28.036433566433601</v>
      </c>
    </row>
    <row r="236" spans="1:13" ht="14.5" x14ac:dyDescent="0.35">
      <c r="A236" t="s">
        <v>247</v>
      </c>
      <c r="B236" s="3">
        <v>46209</v>
      </c>
      <c r="C236" t="s">
        <v>76</v>
      </c>
      <c r="D236" t="s">
        <v>33</v>
      </c>
      <c r="E236" s="4">
        <v>1877.5</v>
      </c>
      <c r="F236">
        <v>306</v>
      </c>
      <c r="G236">
        <v>41</v>
      </c>
      <c r="H236">
        <v>2026</v>
      </c>
      <c r="I236">
        <v>7</v>
      </c>
      <c r="J236" s="6">
        <v>0.13398692810457499</v>
      </c>
      <c r="K236" t="s">
        <v>315</v>
      </c>
      <c r="L236" s="4">
        <v>6.1356209150326801</v>
      </c>
      <c r="M236" s="4">
        <v>45.792682926829301</v>
      </c>
    </row>
    <row r="237" spans="1:13" ht="14.5" x14ac:dyDescent="0.35">
      <c r="A237" t="s">
        <v>93</v>
      </c>
      <c r="B237" s="3">
        <v>45878</v>
      </c>
      <c r="C237" t="s">
        <v>76</v>
      </c>
      <c r="D237" t="s">
        <v>14</v>
      </c>
      <c r="E237" s="4">
        <v>1584.15</v>
      </c>
      <c r="F237">
        <v>220</v>
      </c>
      <c r="G237">
        <v>32</v>
      </c>
      <c r="H237">
        <v>2025</v>
      </c>
      <c r="I237">
        <v>8</v>
      </c>
      <c r="J237" s="6">
        <v>0.145454545454545</v>
      </c>
      <c r="K237" t="s">
        <v>315</v>
      </c>
      <c r="L237" s="4">
        <v>7.2006818181818204</v>
      </c>
      <c r="M237" s="4">
        <v>49.504687500000003</v>
      </c>
    </row>
    <row r="238" spans="1:13" ht="14.5" x14ac:dyDescent="0.35">
      <c r="A238" t="s">
        <v>248</v>
      </c>
      <c r="B238" s="3">
        <v>45939</v>
      </c>
      <c r="C238" t="s">
        <v>10</v>
      </c>
      <c r="D238" t="s">
        <v>17</v>
      </c>
      <c r="E238" s="4">
        <v>1442.63</v>
      </c>
      <c r="F238">
        <v>426</v>
      </c>
      <c r="G238">
        <v>52</v>
      </c>
      <c r="H238">
        <v>2025</v>
      </c>
      <c r="I238">
        <v>10</v>
      </c>
      <c r="J238" s="6">
        <v>0.122065727699531</v>
      </c>
      <c r="K238" t="s">
        <v>315</v>
      </c>
      <c r="L238" s="4">
        <v>3.3864553990610302</v>
      </c>
      <c r="M238" s="4">
        <v>27.7428846153846</v>
      </c>
    </row>
    <row r="239" spans="1:13" ht="14.5" x14ac:dyDescent="0.35">
      <c r="A239" t="s">
        <v>249</v>
      </c>
      <c r="B239" s="3">
        <v>45988</v>
      </c>
      <c r="C239" t="s">
        <v>15</v>
      </c>
      <c r="D239" t="s">
        <v>33</v>
      </c>
      <c r="E239" s="4">
        <v>3928.3</v>
      </c>
      <c r="F239">
        <v>951</v>
      </c>
      <c r="G239">
        <v>145</v>
      </c>
      <c r="H239">
        <v>2025</v>
      </c>
      <c r="I239">
        <v>11</v>
      </c>
      <c r="J239" s="6">
        <v>0.15247108307045201</v>
      </c>
      <c r="K239" t="s">
        <v>315</v>
      </c>
      <c r="L239" s="4">
        <v>4.1307045215562601</v>
      </c>
      <c r="M239" s="4">
        <v>27.091724137930999</v>
      </c>
    </row>
    <row r="240" spans="1:13" ht="14.5" x14ac:dyDescent="0.35">
      <c r="A240" t="s">
        <v>250</v>
      </c>
      <c r="B240" s="3">
        <v>46144</v>
      </c>
      <c r="C240" t="s">
        <v>19</v>
      </c>
      <c r="D240" t="s">
        <v>17</v>
      </c>
      <c r="E240" s="4">
        <v>348.31</v>
      </c>
      <c r="F240">
        <v>34</v>
      </c>
      <c r="G240">
        <v>7</v>
      </c>
      <c r="H240">
        <v>2026</v>
      </c>
      <c r="I240">
        <v>5</v>
      </c>
      <c r="J240" s="6">
        <v>0.20588235294117699</v>
      </c>
      <c r="K240" t="s">
        <v>312</v>
      </c>
      <c r="L240" s="4">
        <v>10.2444117647059</v>
      </c>
      <c r="M240" s="4">
        <v>49.7585714285714</v>
      </c>
    </row>
    <row r="241" spans="1:13" ht="14.5" x14ac:dyDescent="0.35">
      <c r="A241" t="s">
        <v>251</v>
      </c>
      <c r="B241" s="3">
        <v>46115</v>
      </c>
      <c r="C241" t="s">
        <v>24</v>
      </c>
      <c r="D241" t="s">
        <v>17</v>
      </c>
      <c r="E241" s="4">
        <v>4826.55</v>
      </c>
      <c r="F241">
        <v>1104</v>
      </c>
      <c r="G241">
        <v>238</v>
      </c>
      <c r="H241">
        <v>2026</v>
      </c>
      <c r="I241">
        <v>4</v>
      </c>
      <c r="J241" s="6">
        <v>0.21557971014492799</v>
      </c>
      <c r="K241" t="s">
        <v>312</v>
      </c>
      <c r="L241" s="4">
        <v>4.3718750000000002</v>
      </c>
      <c r="M241" s="4">
        <v>20.279621848739499</v>
      </c>
    </row>
    <row r="242" spans="1:13" ht="14.5" x14ac:dyDescent="0.35">
      <c r="A242" t="s">
        <v>252</v>
      </c>
      <c r="B242" s="3">
        <v>46105</v>
      </c>
      <c r="C242" t="s">
        <v>24</v>
      </c>
      <c r="D242" t="s">
        <v>43</v>
      </c>
      <c r="E242" s="4">
        <v>753.03</v>
      </c>
      <c r="F242">
        <v>100</v>
      </c>
      <c r="G242">
        <v>28</v>
      </c>
      <c r="H242">
        <v>2026</v>
      </c>
      <c r="I242">
        <v>3</v>
      </c>
      <c r="J242" s="6">
        <v>0.28000000000000003</v>
      </c>
      <c r="K242" t="s">
        <v>312</v>
      </c>
      <c r="L242" s="4">
        <v>7.5303000000000004</v>
      </c>
      <c r="M242" s="4">
        <v>26.893928571428599</v>
      </c>
    </row>
    <row r="243" spans="1:13" ht="14.5" x14ac:dyDescent="0.35">
      <c r="A243" t="s">
        <v>253</v>
      </c>
      <c r="B243" s="3">
        <v>45910</v>
      </c>
      <c r="C243" t="s">
        <v>19</v>
      </c>
      <c r="D243" t="s">
        <v>11</v>
      </c>
      <c r="E243" s="4">
        <v>4334.1899999999996</v>
      </c>
      <c r="F243">
        <v>584</v>
      </c>
      <c r="G243">
        <v>73</v>
      </c>
      <c r="H243">
        <v>2025</v>
      </c>
      <c r="I243">
        <v>9</v>
      </c>
      <c r="J243" s="6">
        <v>0.125</v>
      </c>
      <c r="K243" t="s">
        <v>315</v>
      </c>
      <c r="L243" s="4">
        <v>7.4215582191780802</v>
      </c>
      <c r="M243" s="4">
        <v>59.372465753424699</v>
      </c>
    </row>
    <row r="244" spans="1:13" ht="14.5" x14ac:dyDescent="0.35">
      <c r="A244" t="s">
        <v>254</v>
      </c>
      <c r="B244" s="3">
        <v>45959</v>
      </c>
      <c r="C244" t="s">
        <v>10</v>
      </c>
      <c r="D244" t="s">
        <v>35</v>
      </c>
      <c r="E244" s="4">
        <v>4216.49</v>
      </c>
      <c r="F244">
        <v>1050</v>
      </c>
      <c r="G244">
        <v>265</v>
      </c>
      <c r="H244">
        <v>2025</v>
      </c>
      <c r="I244">
        <v>10</v>
      </c>
      <c r="J244" s="6">
        <v>0.25238095238095198</v>
      </c>
      <c r="K244" t="s">
        <v>312</v>
      </c>
      <c r="L244" s="4">
        <v>4.0157047619047601</v>
      </c>
      <c r="M244" s="4">
        <v>15.9112830188679</v>
      </c>
    </row>
    <row r="245" spans="1:13" ht="14.5" x14ac:dyDescent="0.35">
      <c r="A245" t="s">
        <v>255</v>
      </c>
      <c r="B245" s="3">
        <v>45807</v>
      </c>
      <c r="C245" t="s">
        <v>10</v>
      </c>
      <c r="D245" t="s">
        <v>11</v>
      </c>
      <c r="E245" s="4">
        <v>2326.2600000000002</v>
      </c>
      <c r="F245">
        <v>516</v>
      </c>
      <c r="G245">
        <v>144</v>
      </c>
      <c r="H245">
        <v>2025</v>
      </c>
      <c r="I245">
        <v>5</v>
      </c>
      <c r="J245" s="6">
        <v>0.27906976744186102</v>
      </c>
      <c r="K245" t="s">
        <v>312</v>
      </c>
      <c r="L245" s="4">
        <v>4.5082558139534896</v>
      </c>
      <c r="M245" s="4">
        <v>16.154583333333299</v>
      </c>
    </row>
    <row r="246" spans="1:13" ht="14.5" x14ac:dyDescent="0.35">
      <c r="A246" t="s">
        <v>256</v>
      </c>
      <c r="B246" s="3">
        <v>45785</v>
      </c>
      <c r="C246" t="s">
        <v>19</v>
      </c>
      <c r="D246" t="s">
        <v>33</v>
      </c>
      <c r="E246" s="4">
        <v>301.43</v>
      </c>
      <c r="F246">
        <v>43</v>
      </c>
      <c r="G246">
        <v>8</v>
      </c>
      <c r="H246">
        <v>2025</v>
      </c>
      <c r="I246">
        <v>5</v>
      </c>
      <c r="J246" s="6">
        <v>0.186046511627907</v>
      </c>
      <c r="K246" t="s">
        <v>315</v>
      </c>
      <c r="L246" s="4">
        <v>7.01</v>
      </c>
      <c r="M246" s="4">
        <v>37.678750000000001</v>
      </c>
    </row>
    <row r="247" spans="1:13" ht="14.5" x14ac:dyDescent="0.35">
      <c r="A247" t="s">
        <v>257</v>
      </c>
      <c r="B247" s="3">
        <v>45709</v>
      </c>
      <c r="C247" t="s">
        <v>76</v>
      </c>
      <c r="D247" t="s">
        <v>14</v>
      </c>
      <c r="E247" s="4">
        <v>4745.71</v>
      </c>
      <c r="F247">
        <v>825</v>
      </c>
      <c r="G247">
        <v>114</v>
      </c>
      <c r="H247">
        <v>2025</v>
      </c>
      <c r="I247">
        <v>2</v>
      </c>
      <c r="J247" s="6">
        <v>0.13818181818181799</v>
      </c>
      <c r="K247" t="s">
        <v>315</v>
      </c>
      <c r="L247" s="4">
        <v>5.7523757575757601</v>
      </c>
      <c r="M247" s="4">
        <v>41.629035087719302</v>
      </c>
    </row>
    <row r="248" spans="1:13" ht="14.5" x14ac:dyDescent="0.35">
      <c r="A248" t="s">
        <v>258</v>
      </c>
      <c r="B248" s="3">
        <v>46070</v>
      </c>
      <c r="C248" t="s">
        <v>15</v>
      </c>
      <c r="D248" t="s">
        <v>11</v>
      </c>
      <c r="E248" s="4">
        <v>1644.74</v>
      </c>
      <c r="F248">
        <v>381</v>
      </c>
      <c r="G248">
        <v>46</v>
      </c>
      <c r="H248">
        <v>2026</v>
      </c>
      <c r="I248">
        <v>2</v>
      </c>
      <c r="J248" s="6">
        <v>0.12073490813648299</v>
      </c>
      <c r="K248" t="s">
        <v>315</v>
      </c>
      <c r="L248" s="4">
        <v>4.3169028871391104</v>
      </c>
      <c r="M248" s="4">
        <v>35.755217391304399</v>
      </c>
    </row>
    <row r="249" spans="1:13" ht="14.5" x14ac:dyDescent="0.35">
      <c r="A249" t="s">
        <v>259</v>
      </c>
      <c r="B249" s="3">
        <v>46176</v>
      </c>
      <c r="C249" t="s">
        <v>24</v>
      </c>
      <c r="D249" t="s">
        <v>33</v>
      </c>
      <c r="E249" s="4">
        <v>1125.1600000000001</v>
      </c>
      <c r="F249">
        <v>131</v>
      </c>
      <c r="G249">
        <v>25</v>
      </c>
      <c r="H249">
        <v>2026</v>
      </c>
      <c r="I249">
        <v>6</v>
      </c>
      <c r="J249" s="6">
        <v>0.19083969465648901</v>
      </c>
      <c r="K249" t="s">
        <v>312</v>
      </c>
      <c r="L249" s="4">
        <v>8.5890076335877907</v>
      </c>
      <c r="M249" s="4">
        <v>45.006399999999999</v>
      </c>
    </row>
    <row r="250" spans="1:13" ht="14.5" x14ac:dyDescent="0.35">
      <c r="A250" t="s">
        <v>260</v>
      </c>
      <c r="B250" s="3">
        <v>46011</v>
      </c>
      <c r="C250" t="s">
        <v>15</v>
      </c>
      <c r="D250" t="s">
        <v>35</v>
      </c>
      <c r="E250" s="4">
        <v>4825.67</v>
      </c>
      <c r="F250">
        <v>468</v>
      </c>
      <c r="G250">
        <v>73</v>
      </c>
      <c r="H250">
        <v>2025</v>
      </c>
      <c r="I250">
        <v>12</v>
      </c>
      <c r="J250" s="6">
        <v>0.15598290598290601</v>
      </c>
      <c r="K250" t="s">
        <v>315</v>
      </c>
      <c r="L250" s="4">
        <v>10.3112606837607</v>
      </c>
      <c r="M250" s="4">
        <v>66.105068493150696</v>
      </c>
    </row>
    <row r="251" spans="1:13" ht="14.5" x14ac:dyDescent="0.35">
      <c r="A251" t="s">
        <v>261</v>
      </c>
      <c r="B251" s="3">
        <v>46037</v>
      </c>
      <c r="C251" t="s">
        <v>15</v>
      </c>
      <c r="D251" t="s">
        <v>33</v>
      </c>
      <c r="E251" s="4">
        <v>3047.74</v>
      </c>
      <c r="F251">
        <v>711</v>
      </c>
      <c r="G251">
        <v>153</v>
      </c>
      <c r="H251">
        <v>2026</v>
      </c>
      <c r="I251">
        <v>1</v>
      </c>
      <c r="J251" s="6">
        <v>0.215189873417722</v>
      </c>
      <c r="K251" t="s">
        <v>312</v>
      </c>
      <c r="L251" s="4">
        <v>4.2865541490857897</v>
      </c>
      <c r="M251" s="4">
        <v>19.919869281045798</v>
      </c>
    </row>
    <row r="252" spans="1:13" ht="14.5" x14ac:dyDescent="0.35">
      <c r="A252" t="s">
        <v>262</v>
      </c>
      <c r="B252" s="3">
        <v>46051</v>
      </c>
      <c r="C252" t="s">
        <v>15</v>
      </c>
      <c r="D252" t="s">
        <v>33</v>
      </c>
      <c r="E252" s="4">
        <v>475.03</v>
      </c>
      <c r="F252">
        <v>70</v>
      </c>
      <c r="G252">
        <v>12</v>
      </c>
      <c r="H252">
        <v>2026</v>
      </c>
      <c r="I252">
        <v>1</v>
      </c>
      <c r="J252" s="6">
        <v>0.17142857142857101</v>
      </c>
      <c r="K252" t="s">
        <v>315</v>
      </c>
      <c r="L252" s="4">
        <v>6.7861428571428597</v>
      </c>
      <c r="M252" s="4">
        <v>39.585833333333298</v>
      </c>
    </row>
    <row r="253" spans="1:13" ht="14.5" x14ac:dyDescent="0.35">
      <c r="A253" t="s">
        <v>263</v>
      </c>
      <c r="B253" s="3">
        <v>45745</v>
      </c>
      <c r="C253" t="s">
        <v>76</v>
      </c>
      <c r="D253" t="s">
        <v>17</v>
      </c>
      <c r="E253" s="4">
        <v>4021.93</v>
      </c>
      <c r="F253">
        <v>426</v>
      </c>
      <c r="G253">
        <v>37</v>
      </c>
      <c r="H253">
        <v>2025</v>
      </c>
      <c r="I253">
        <v>3</v>
      </c>
      <c r="J253" s="6">
        <v>8.6854460093896704E-2</v>
      </c>
      <c r="K253" t="s">
        <v>315</v>
      </c>
      <c r="L253" s="4">
        <v>9.4411502347417802</v>
      </c>
      <c r="M253" s="4">
        <v>108.70081081081101</v>
      </c>
    </row>
    <row r="254" spans="1:13" ht="14.5" x14ac:dyDescent="0.35">
      <c r="A254" t="s">
        <v>264</v>
      </c>
      <c r="B254" s="3">
        <v>46148</v>
      </c>
      <c r="C254" t="s">
        <v>10</v>
      </c>
      <c r="D254" t="s">
        <v>33</v>
      </c>
      <c r="E254" s="4">
        <v>1235.7</v>
      </c>
      <c r="F254">
        <v>130</v>
      </c>
      <c r="G254">
        <v>26</v>
      </c>
      <c r="H254">
        <v>2026</v>
      </c>
      <c r="I254">
        <v>5</v>
      </c>
      <c r="J254" s="6">
        <v>0.2</v>
      </c>
      <c r="K254" t="s">
        <v>312</v>
      </c>
      <c r="L254" s="4">
        <v>9.5053846153846209</v>
      </c>
      <c r="M254" s="4">
        <v>47.526923076923097</v>
      </c>
    </row>
    <row r="255" spans="1:13" ht="14.5" x14ac:dyDescent="0.35">
      <c r="A255" t="s">
        <v>339</v>
      </c>
      <c r="B255" s="3">
        <v>45998</v>
      </c>
      <c r="C255" t="s">
        <v>15</v>
      </c>
      <c r="D255" t="s">
        <v>35</v>
      </c>
      <c r="E255" s="4">
        <v>1206.3900000000001</v>
      </c>
      <c r="F255">
        <v>151</v>
      </c>
      <c r="G255">
        <v>7</v>
      </c>
      <c r="H255">
        <v>2025</v>
      </c>
      <c r="I255">
        <v>12</v>
      </c>
      <c r="J255" s="6">
        <v>4.6357615894039701E-2</v>
      </c>
      <c r="K255" t="s">
        <v>315</v>
      </c>
      <c r="L255" s="4">
        <v>7.9893377483443704</v>
      </c>
      <c r="M255" s="4">
        <v>172.34142857142899</v>
      </c>
    </row>
    <row r="256" spans="1:13" ht="14.5" x14ac:dyDescent="0.35">
      <c r="A256" t="s">
        <v>265</v>
      </c>
      <c r="B256" s="3">
        <v>45941</v>
      </c>
      <c r="C256" t="s">
        <v>76</v>
      </c>
      <c r="D256" t="s">
        <v>11</v>
      </c>
      <c r="E256" s="4">
        <v>4638.09</v>
      </c>
      <c r="F256">
        <v>767</v>
      </c>
      <c r="G256">
        <v>84</v>
      </c>
      <c r="H256">
        <v>2025</v>
      </c>
      <c r="I256">
        <v>10</v>
      </c>
      <c r="J256" s="6">
        <v>0.10951760104302501</v>
      </c>
      <c r="K256" t="s">
        <v>315</v>
      </c>
      <c r="L256" s="4">
        <v>6.0470534550195598</v>
      </c>
      <c r="M256" s="4">
        <v>55.215357142857101</v>
      </c>
    </row>
    <row r="257" spans="1:13" ht="14.5" x14ac:dyDescent="0.35">
      <c r="A257" t="s">
        <v>266</v>
      </c>
      <c r="B257" s="3">
        <v>45923</v>
      </c>
      <c r="C257" t="s">
        <v>24</v>
      </c>
      <c r="D257" t="s">
        <v>17</v>
      </c>
      <c r="E257" s="4">
        <v>4926.28</v>
      </c>
      <c r="F257">
        <v>844</v>
      </c>
      <c r="G257">
        <v>73</v>
      </c>
      <c r="H257">
        <v>2025</v>
      </c>
      <c r="I257">
        <v>9</v>
      </c>
      <c r="J257" s="6">
        <v>8.6492890995260696E-2</v>
      </c>
      <c r="K257" t="s">
        <v>315</v>
      </c>
      <c r="L257" s="4">
        <v>5.8368246445497602</v>
      </c>
      <c r="M257" s="4">
        <v>67.483287671232901</v>
      </c>
    </row>
    <row r="258" spans="1:13" ht="14.5" x14ac:dyDescent="0.35">
      <c r="A258" t="s">
        <v>267</v>
      </c>
      <c r="B258" s="3">
        <v>45908</v>
      </c>
      <c r="C258" t="s">
        <v>19</v>
      </c>
      <c r="D258" t="s">
        <v>35</v>
      </c>
      <c r="E258" s="4">
        <v>2610.06</v>
      </c>
      <c r="F258">
        <v>267</v>
      </c>
      <c r="G258">
        <v>51</v>
      </c>
      <c r="H258">
        <v>2025</v>
      </c>
      <c r="I258">
        <v>9</v>
      </c>
      <c r="J258" s="6">
        <v>0.19101123595505601</v>
      </c>
      <c r="K258" t="s">
        <v>312</v>
      </c>
      <c r="L258" s="4">
        <v>9.7755056179775295</v>
      </c>
      <c r="M258" s="4">
        <v>51.177647058823503</v>
      </c>
    </row>
    <row r="259" spans="1:13" ht="14.5" x14ac:dyDescent="0.35">
      <c r="A259" t="s">
        <v>268</v>
      </c>
      <c r="B259" s="3">
        <v>45792</v>
      </c>
      <c r="C259" t="s">
        <v>10</v>
      </c>
      <c r="D259" t="s">
        <v>11</v>
      </c>
      <c r="E259" s="4">
        <v>1819.43</v>
      </c>
      <c r="F259">
        <v>361</v>
      </c>
      <c r="G259">
        <v>93</v>
      </c>
      <c r="H259">
        <v>2025</v>
      </c>
      <c r="I259">
        <v>5</v>
      </c>
      <c r="J259" s="6">
        <v>0.25761772853185599</v>
      </c>
      <c r="K259" t="s">
        <v>312</v>
      </c>
      <c r="L259" s="4">
        <v>5.0399722991689799</v>
      </c>
      <c r="M259" s="4">
        <v>19.5637634408602</v>
      </c>
    </row>
    <row r="260" spans="1:13" ht="14.5" x14ac:dyDescent="0.35">
      <c r="A260" t="s">
        <v>269</v>
      </c>
      <c r="B260" s="3">
        <v>46013</v>
      </c>
      <c r="C260" t="s">
        <v>15</v>
      </c>
      <c r="D260" t="s">
        <v>35</v>
      </c>
      <c r="E260" s="4">
        <v>3457.13</v>
      </c>
      <c r="F260">
        <v>434</v>
      </c>
      <c r="G260">
        <v>110</v>
      </c>
      <c r="H260">
        <v>2025</v>
      </c>
      <c r="I260">
        <v>12</v>
      </c>
      <c r="J260" s="6">
        <v>0.25345622119815697</v>
      </c>
      <c r="K260" t="s">
        <v>312</v>
      </c>
      <c r="L260" s="4">
        <v>7.9657373271889398</v>
      </c>
      <c r="M260" s="4">
        <v>31.428454545454599</v>
      </c>
    </row>
    <row r="261" spans="1:13" ht="14.5" x14ac:dyDescent="0.35">
      <c r="A261" t="s">
        <v>270</v>
      </c>
      <c r="B261" s="3">
        <v>46133</v>
      </c>
      <c r="C261" t="s">
        <v>76</v>
      </c>
      <c r="D261" t="s">
        <v>17</v>
      </c>
      <c r="E261" s="4">
        <v>3465.97</v>
      </c>
      <c r="F261">
        <v>304</v>
      </c>
      <c r="G261">
        <v>35</v>
      </c>
      <c r="H261">
        <v>2026</v>
      </c>
      <c r="I261">
        <v>4</v>
      </c>
      <c r="J261" s="6">
        <v>0.115131578947368</v>
      </c>
      <c r="K261" t="s">
        <v>315</v>
      </c>
      <c r="L261" s="4">
        <v>11.4012171052632</v>
      </c>
      <c r="M261" s="4">
        <v>99.027714285714296</v>
      </c>
    </row>
    <row r="262" spans="1:13" ht="14.5" x14ac:dyDescent="0.35">
      <c r="A262" t="s">
        <v>271</v>
      </c>
      <c r="B262" s="3">
        <v>46198</v>
      </c>
      <c r="C262" t="s">
        <v>76</v>
      </c>
      <c r="D262" t="s">
        <v>21</v>
      </c>
      <c r="E262" s="4">
        <v>387.93</v>
      </c>
      <c r="F262">
        <v>95</v>
      </c>
      <c r="G262">
        <v>73</v>
      </c>
      <c r="H262">
        <v>2026</v>
      </c>
      <c r="I262">
        <v>6</v>
      </c>
      <c r="J262" s="6">
        <v>0.768421052631579</v>
      </c>
      <c r="K262" t="s">
        <v>312</v>
      </c>
      <c r="L262" s="4">
        <v>4.0834736842105297</v>
      </c>
      <c r="M262" s="4">
        <v>5.3141095890410996</v>
      </c>
    </row>
    <row r="263" spans="1:13" ht="14.5" x14ac:dyDescent="0.35">
      <c r="A263" t="s">
        <v>272</v>
      </c>
      <c r="B263" s="3">
        <v>46089</v>
      </c>
      <c r="C263" t="s">
        <v>76</v>
      </c>
      <c r="D263" t="s">
        <v>17</v>
      </c>
      <c r="E263" s="4">
        <v>2869.4949999999999</v>
      </c>
      <c r="F263">
        <v>461</v>
      </c>
      <c r="G263">
        <v>32</v>
      </c>
      <c r="H263">
        <v>2026</v>
      </c>
      <c r="I263">
        <v>3</v>
      </c>
      <c r="J263" s="6">
        <v>6.941431670282E-2</v>
      </c>
      <c r="K263" t="s">
        <v>315</v>
      </c>
      <c r="L263" s="4">
        <v>6.2245010845986997</v>
      </c>
      <c r="M263" s="4">
        <v>89.671718749999997</v>
      </c>
    </row>
    <row r="264" spans="1:13" ht="14.5" x14ac:dyDescent="0.35">
      <c r="A264" t="s">
        <v>273</v>
      </c>
      <c r="B264" s="3">
        <v>45941</v>
      </c>
      <c r="C264" t="s">
        <v>15</v>
      </c>
      <c r="D264" t="s">
        <v>17</v>
      </c>
      <c r="E264" s="4">
        <v>4350.93</v>
      </c>
      <c r="F264">
        <v>402</v>
      </c>
      <c r="G264">
        <v>71</v>
      </c>
      <c r="H264">
        <v>2025</v>
      </c>
      <c r="I264">
        <v>10</v>
      </c>
      <c r="J264" s="6">
        <v>0.17661691542288599</v>
      </c>
      <c r="K264" t="s">
        <v>315</v>
      </c>
      <c r="L264" s="4">
        <v>10.823208955223899</v>
      </c>
      <c r="M264" s="4">
        <v>61.280704225352103</v>
      </c>
    </row>
    <row r="265" spans="1:13" ht="14.5" x14ac:dyDescent="0.35">
      <c r="A265" t="s">
        <v>274</v>
      </c>
      <c r="B265" s="3">
        <v>46112</v>
      </c>
      <c r="C265" t="s">
        <v>10</v>
      </c>
      <c r="D265" t="s">
        <v>35</v>
      </c>
      <c r="E265" s="4">
        <v>4054.96</v>
      </c>
      <c r="F265">
        <v>628</v>
      </c>
      <c r="G265">
        <v>132</v>
      </c>
      <c r="H265">
        <v>2026</v>
      </c>
      <c r="I265">
        <v>3</v>
      </c>
      <c r="J265" s="6">
        <v>0.210191082802548</v>
      </c>
      <c r="K265" t="s">
        <v>312</v>
      </c>
      <c r="L265" s="4">
        <v>6.4569426751592403</v>
      </c>
      <c r="M265" s="4">
        <v>30.7193939393939</v>
      </c>
    </row>
    <row r="266" spans="1:13" ht="14.5" x14ac:dyDescent="0.35">
      <c r="A266" t="s">
        <v>275</v>
      </c>
      <c r="B266" s="3">
        <v>45935</v>
      </c>
      <c r="C266" t="s">
        <v>15</v>
      </c>
      <c r="D266" t="s">
        <v>17</v>
      </c>
      <c r="E266" s="4">
        <v>1073.1400000000001</v>
      </c>
      <c r="F266">
        <v>245</v>
      </c>
      <c r="G266">
        <v>45</v>
      </c>
      <c r="H266">
        <v>2025</v>
      </c>
      <c r="I266">
        <v>10</v>
      </c>
      <c r="J266" s="6">
        <v>0.183673469387755</v>
      </c>
      <c r="K266" t="s">
        <v>315</v>
      </c>
      <c r="L266" s="4">
        <v>4.3801632653061198</v>
      </c>
      <c r="M266" s="4">
        <v>23.847555555555601</v>
      </c>
    </row>
    <row r="267" spans="1:13" ht="14.5" x14ac:dyDescent="0.35">
      <c r="A267" t="s">
        <v>276</v>
      </c>
      <c r="B267" s="3">
        <v>45844</v>
      </c>
      <c r="C267" t="s">
        <v>15</v>
      </c>
      <c r="D267" t="s">
        <v>14</v>
      </c>
      <c r="E267" s="4">
        <v>4476.0600000000004</v>
      </c>
      <c r="F267">
        <v>464</v>
      </c>
      <c r="G267">
        <v>69</v>
      </c>
      <c r="H267">
        <v>2025</v>
      </c>
      <c r="I267">
        <v>7</v>
      </c>
      <c r="J267" s="6">
        <v>0.148706896551724</v>
      </c>
      <c r="K267" t="s">
        <v>315</v>
      </c>
      <c r="L267" s="4">
        <v>9.6466810344827607</v>
      </c>
      <c r="M267" s="4">
        <v>64.870434782608697</v>
      </c>
    </row>
    <row r="268" spans="1:13" ht="14.5" x14ac:dyDescent="0.35">
      <c r="A268" t="s">
        <v>277</v>
      </c>
      <c r="B268" s="3">
        <v>45974</v>
      </c>
      <c r="C268" t="s">
        <v>15</v>
      </c>
      <c r="D268" t="s">
        <v>43</v>
      </c>
      <c r="E268" s="4">
        <v>1387.4</v>
      </c>
      <c r="F268">
        <v>215</v>
      </c>
      <c r="G268">
        <v>24</v>
      </c>
      <c r="H268">
        <v>2025</v>
      </c>
      <c r="I268">
        <v>11</v>
      </c>
      <c r="J268" s="6">
        <v>0.111627906976744</v>
      </c>
      <c r="K268" t="s">
        <v>315</v>
      </c>
      <c r="L268" s="4">
        <v>6.4530232558139504</v>
      </c>
      <c r="M268" s="4">
        <v>57.808333333333302</v>
      </c>
    </row>
    <row r="269" spans="1:13" ht="14.5" x14ac:dyDescent="0.35">
      <c r="A269" t="s">
        <v>278</v>
      </c>
      <c r="B269" s="3">
        <v>46052</v>
      </c>
      <c r="C269" t="s">
        <v>76</v>
      </c>
      <c r="D269" t="s">
        <v>11</v>
      </c>
      <c r="E269" s="4">
        <v>4953.63</v>
      </c>
      <c r="F269">
        <v>768</v>
      </c>
      <c r="G269">
        <v>163</v>
      </c>
      <c r="H269">
        <v>2026</v>
      </c>
      <c r="I269">
        <v>1</v>
      </c>
      <c r="J269" s="6">
        <v>0.21223958333333301</v>
      </c>
      <c r="K269" t="s">
        <v>312</v>
      </c>
      <c r="L269" s="4">
        <v>6.4500390625000001</v>
      </c>
      <c r="M269" s="4">
        <v>30.390368098159499</v>
      </c>
    </row>
    <row r="270" spans="1:13" ht="14.5" x14ac:dyDescent="0.35">
      <c r="A270" t="s">
        <v>340</v>
      </c>
      <c r="B270" s="3">
        <v>45941</v>
      </c>
      <c r="C270" t="s">
        <v>15</v>
      </c>
      <c r="D270" t="s">
        <v>17</v>
      </c>
      <c r="E270" s="4">
        <v>500.84</v>
      </c>
      <c r="F270">
        <v>88</v>
      </c>
      <c r="G270">
        <v>19</v>
      </c>
      <c r="H270">
        <v>2025</v>
      </c>
      <c r="I270">
        <v>10</v>
      </c>
      <c r="J270" s="6">
        <v>0.21590909090909099</v>
      </c>
      <c r="K270" t="s">
        <v>312</v>
      </c>
      <c r="L270" s="4">
        <v>5.69136363636364</v>
      </c>
      <c r="M270" s="4">
        <v>26.36</v>
      </c>
    </row>
    <row r="271" spans="1:13" ht="14.5" x14ac:dyDescent="0.35">
      <c r="A271" t="s">
        <v>279</v>
      </c>
      <c r="B271" s="3">
        <v>45744</v>
      </c>
      <c r="C271" t="s">
        <v>15</v>
      </c>
      <c r="D271" t="s">
        <v>11</v>
      </c>
      <c r="E271" s="4">
        <v>2766.4</v>
      </c>
      <c r="F271">
        <v>595</v>
      </c>
      <c r="G271">
        <v>62</v>
      </c>
      <c r="H271">
        <v>2025</v>
      </c>
      <c r="I271">
        <v>3</v>
      </c>
      <c r="J271" s="6">
        <v>0.104201680672269</v>
      </c>
      <c r="K271" t="s">
        <v>315</v>
      </c>
      <c r="L271" s="4">
        <v>4.6494117647058797</v>
      </c>
      <c r="M271" s="4">
        <v>44.619354838709697</v>
      </c>
    </row>
    <row r="272" spans="1:13" ht="14.5" x14ac:dyDescent="0.35">
      <c r="A272" t="s">
        <v>280</v>
      </c>
      <c r="B272" s="3">
        <v>46227</v>
      </c>
      <c r="C272" t="s">
        <v>19</v>
      </c>
      <c r="D272" t="s">
        <v>21</v>
      </c>
      <c r="E272" s="4">
        <v>3691.38</v>
      </c>
      <c r="F272">
        <v>458</v>
      </c>
      <c r="G272">
        <v>73</v>
      </c>
      <c r="H272">
        <v>2026</v>
      </c>
      <c r="I272">
        <v>7</v>
      </c>
      <c r="J272" s="6">
        <v>0.15938864628821001</v>
      </c>
      <c r="K272" t="s">
        <v>315</v>
      </c>
      <c r="L272" s="4">
        <v>8.0597816593886495</v>
      </c>
      <c r="M272" s="4">
        <v>50.566849315068502</v>
      </c>
    </row>
    <row r="273" spans="1:13" ht="14.5" x14ac:dyDescent="0.35">
      <c r="A273" t="s">
        <v>281</v>
      </c>
      <c r="B273" s="3">
        <v>45854</v>
      </c>
      <c r="C273" t="s">
        <v>10</v>
      </c>
      <c r="D273" t="s">
        <v>17</v>
      </c>
      <c r="E273" s="4">
        <v>4771.6099999999997</v>
      </c>
      <c r="F273">
        <v>587</v>
      </c>
      <c r="G273">
        <v>146</v>
      </c>
      <c r="H273">
        <v>2025</v>
      </c>
      <c r="I273">
        <v>7</v>
      </c>
      <c r="J273" s="6">
        <v>0.24872231686541699</v>
      </c>
      <c r="K273" t="s">
        <v>312</v>
      </c>
      <c r="L273" s="4">
        <v>8.1288074957410608</v>
      </c>
      <c r="M273" s="4">
        <v>32.682260273972602</v>
      </c>
    </row>
    <row r="274" spans="1:13" ht="14.5" x14ac:dyDescent="0.35">
      <c r="A274" t="s">
        <v>282</v>
      </c>
      <c r="B274" s="3">
        <v>46103</v>
      </c>
      <c r="C274" t="s">
        <v>15</v>
      </c>
      <c r="D274" t="s">
        <v>11</v>
      </c>
      <c r="E274" s="4">
        <v>3580.32</v>
      </c>
      <c r="F274">
        <v>327</v>
      </c>
      <c r="G274">
        <v>53</v>
      </c>
      <c r="H274">
        <v>2026</v>
      </c>
      <c r="I274">
        <v>3</v>
      </c>
      <c r="J274" s="6">
        <v>0.16207951070336399</v>
      </c>
      <c r="K274" t="s">
        <v>315</v>
      </c>
      <c r="L274" s="4">
        <v>10.948990825688099</v>
      </c>
      <c r="M274" s="4">
        <v>67.553207547169805</v>
      </c>
    </row>
    <row r="275" spans="1:13" ht="14.5" x14ac:dyDescent="0.35">
      <c r="A275" t="s">
        <v>283</v>
      </c>
      <c r="B275" s="3">
        <v>46176</v>
      </c>
      <c r="C275" t="s">
        <v>10</v>
      </c>
      <c r="D275" t="s">
        <v>11</v>
      </c>
      <c r="E275" s="4">
        <v>2221.84</v>
      </c>
      <c r="F275">
        <v>426</v>
      </c>
      <c r="G275">
        <v>108</v>
      </c>
      <c r="H275">
        <v>2026</v>
      </c>
      <c r="I275">
        <v>6</v>
      </c>
      <c r="J275" s="6">
        <v>0.25352112676056299</v>
      </c>
      <c r="K275" t="s">
        <v>312</v>
      </c>
      <c r="L275" s="4">
        <v>5.2155868544600903</v>
      </c>
      <c r="M275" s="4">
        <v>20.572592592592599</v>
      </c>
    </row>
    <row r="276" spans="1:13" ht="14.5" x14ac:dyDescent="0.35">
      <c r="A276" t="s">
        <v>284</v>
      </c>
      <c r="B276" s="3">
        <v>46051</v>
      </c>
      <c r="C276" t="s">
        <v>15</v>
      </c>
      <c r="D276" t="s">
        <v>11</v>
      </c>
      <c r="E276" s="4">
        <v>3374.99</v>
      </c>
      <c r="F276">
        <v>583</v>
      </c>
      <c r="G276">
        <v>103</v>
      </c>
      <c r="H276">
        <v>2026</v>
      </c>
      <c r="I276">
        <v>1</v>
      </c>
      <c r="J276" s="6">
        <v>0.176672384219554</v>
      </c>
      <c r="K276" t="s">
        <v>315</v>
      </c>
      <c r="L276" s="4">
        <v>5.7890051457976002</v>
      </c>
      <c r="M276" s="4">
        <v>32.766893203883498</v>
      </c>
    </row>
    <row r="277" spans="1:13" ht="14.5" x14ac:dyDescent="0.35">
      <c r="A277" t="s">
        <v>285</v>
      </c>
      <c r="B277" s="3">
        <v>45941</v>
      </c>
      <c r="C277" t="s">
        <v>15</v>
      </c>
      <c r="D277" t="s">
        <v>14</v>
      </c>
      <c r="E277" s="4">
        <v>401.73</v>
      </c>
      <c r="F277">
        <v>87</v>
      </c>
      <c r="G277">
        <v>10</v>
      </c>
      <c r="H277">
        <v>2025</v>
      </c>
      <c r="I277">
        <v>10</v>
      </c>
      <c r="J277" s="6">
        <v>0.114942528735632</v>
      </c>
      <c r="K277" t="s">
        <v>315</v>
      </c>
      <c r="L277" s="4">
        <v>4.6175862068965499</v>
      </c>
      <c r="M277" s="4">
        <v>40.173000000000002</v>
      </c>
    </row>
    <row r="278" spans="1:13" ht="14.5" x14ac:dyDescent="0.35">
      <c r="A278" t="s">
        <v>286</v>
      </c>
      <c r="B278" s="3">
        <v>46217</v>
      </c>
      <c r="C278" t="s">
        <v>10</v>
      </c>
      <c r="D278" t="s">
        <v>43</v>
      </c>
      <c r="E278" s="4">
        <v>4178.66</v>
      </c>
      <c r="F278">
        <v>776</v>
      </c>
      <c r="G278">
        <v>206</v>
      </c>
      <c r="H278">
        <v>2026</v>
      </c>
      <c r="I278">
        <v>7</v>
      </c>
      <c r="J278" s="6">
        <v>0.26546391752577297</v>
      </c>
      <c r="K278" t="s">
        <v>312</v>
      </c>
      <c r="L278" s="4">
        <v>5.3848711340206199</v>
      </c>
      <c r="M278" s="4">
        <v>20.2847572815534</v>
      </c>
    </row>
    <row r="279" spans="1:13" ht="14.5" x14ac:dyDescent="0.35">
      <c r="A279" t="s">
        <v>287</v>
      </c>
      <c r="B279" s="3">
        <v>45876</v>
      </c>
      <c r="C279" t="s">
        <v>24</v>
      </c>
      <c r="D279" t="s">
        <v>35</v>
      </c>
      <c r="E279" s="4">
        <v>3217.76</v>
      </c>
      <c r="F279">
        <v>498</v>
      </c>
      <c r="G279">
        <v>120</v>
      </c>
      <c r="H279">
        <v>2025</v>
      </c>
      <c r="I279">
        <v>8</v>
      </c>
      <c r="J279" s="6">
        <v>0.240963855421687</v>
      </c>
      <c r="K279" t="s">
        <v>312</v>
      </c>
      <c r="L279" s="4">
        <v>6.4613654618473904</v>
      </c>
      <c r="M279" s="4">
        <v>26.8146666666667</v>
      </c>
    </row>
    <row r="280" spans="1:13" ht="14.5" x14ac:dyDescent="0.35">
      <c r="A280" t="s">
        <v>341</v>
      </c>
      <c r="B280" s="3">
        <v>46158</v>
      </c>
      <c r="C280" t="s">
        <v>15</v>
      </c>
      <c r="D280" t="s">
        <v>11</v>
      </c>
      <c r="E280" s="4">
        <v>295.8</v>
      </c>
      <c r="F280">
        <v>67</v>
      </c>
      <c r="G280">
        <v>7</v>
      </c>
      <c r="H280">
        <v>2026</v>
      </c>
      <c r="I280">
        <v>5</v>
      </c>
      <c r="J280" s="6">
        <v>0.104477611940299</v>
      </c>
      <c r="K280" t="s">
        <v>315</v>
      </c>
      <c r="L280" s="4">
        <v>4.4149253731343299</v>
      </c>
      <c r="M280" s="4">
        <v>42.257142857142902</v>
      </c>
    </row>
    <row r="281" spans="1:13" ht="14.5" x14ac:dyDescent="0.35">
      <c r="A281" t="s">
        <v>288</v>
      </c>
      <c r="B281" s="3">
        <v>45738</v>
      </c>
      <c r="C281" t="s">
        <v>15</v>
      </c>
      <c r="D281" t="s">
        <v>11</v>
      </c>
      <c r="E281" s="4">
        <v>2647.13</v>
      </c>
      <c r="F281">
        <v>426</v>
      </c>
      <c r="G281">
        <v>100</v>
      </c>
      <c r="H281">
        <v>2025</v>
      </c>
      <c r="I281">
        <v>3</v>
      </c>
      <c r="J281" s="6">
        <v>0.23474178403755899</v>
      </c>
      <c r="K281" t="s">
        <v>312</v>
      </c>
      <c r="L281" s="4">
        <v>6.2139201877934296</v>
      </c>
      <c r="M281" s="4">
        <v>26.471299999999999</v>
      </c>
    </row>
    <row r="282" spans="1:13" ht="14.5" x14ac:dyDescent="0.35">
      <c r="A282" t="s">
        <v>289</v>
      </c>
      <c r="B282" s="3">
        <v>45767</v>
      </c>
      <c r="C282" t="s">
        <v>19</v>
      </c>
      <c r="D282" t="s">
        <v>21</v>
      </c>
      <c r="E282" s="4">
        <v>3810.3</v>
      </c>
      <c r="F282">
        <v>623</v>
      </c>
      <c r="G282">
        <v>73</v>
      </c>
      <c r="H282">
        <v>2025</v>
      </c>
      <c r="I282">
        <v>4</v>
      </c>
      <c r="J282" s="6">
        <v>0.117174959871589</v>
      </c>
      <c r="K282" t="s">
        <v>315</v>
      </c>
      <c r="L282" s="4">
        <v>6.11605136436597</v>
      </c>
      <c r="M282" s="4">
        <v>52.195890410958903</v>
      </c>
    </row>
    <row r="283" spans="1:13" ht="14.5" x14ac:dyDescent="0.35">
      <c r="A283" t="s">
        <v>290</v>
      </c>
      <c r="B283" s="3">
        <v>45692</v>
      </c>
      <c r="C283" t="s">
        <v>10</v>
      </c>
      <c r="D283" t="s">
        <v>11</v>
      </c>
      <c r="E283" s="4">
        <v>4224.63</v>
      </c>
      <c r="F283">
        <v>618</v>
      </c>
      <c r="G283">
        <v>118</v>
      </c>
      <c r="H283">
        <v>2025</v>
      </c>
      <c r="I283">
        <v>2</v>
      </c>
      <c r="J283" s="6">
        <v>0.19093851132686099</v>
      </c>
      <c r="K283" t="s">
        <v>312</v>
      </c>
      <c r="L283" s="4">
        <v>6.83597087378641</v>
      </c>
      <c r="M283" s="4">
        <v>35.801949152542399</v>
      </c>
    </row>
    <row r="284" spans="1:13" ht="14.5" x14ac:dyDescent="0.35">
      <c r="A284" t="s">
        <v>291</v>
      </c>
      <c r="B284" s="3">
        <v>45802</v>
      </c>
      <c r="C284" t="s">
        <v>15</v>
      </c>
      <c r="D284" t="s">
        <v>33</v>
      </c>
      <c r="E284" s="4">
        <v>2109.1799999999998</v>
      </c>
      <c r="F284">
        <v>251</v>
      </c>
      <c r="G284">
        <v>34</v>
      </c>
      <c r="H284">
        <v>2025</v>
      </c>
      <c r="I284">
        <v>5</v>
      </c>
      <c r="J284" s="6">
        <v>0.135458167330677</v>
      </c>
      <c r="K284" t="s">
        <v>315</v>
      </c>
      <c r="L284" s="4">
        <v>8.4031075697211204</v>
      </c>
      <c r="M284" s="4">
        <v>62.034705882352903</v>
      </c>
    </row>
    <row r="285" spans="1:13" ht="14.5" x14ac:dyDescent="0.35">
      <c r="A285" t="s">
        <v>292</v>
      </c>
      <c r="B285" s="3">
        <v>46088</v>
      </c>
      <c r="C285" t="s">
        <v>10</v>
      </c>
      <c r="D285" t="s">
        <v>14</v>
      </c>
      <c r="E285" s="4">
        <v>1119.6500000000001</v>
      </c>
      <c r="F285">
        <v>166</v>
      </c>
      <c r="G285">
        <v>30</v>
      </c>
      <c r="H285">
        <v>2026</v>
      </c>
      <c r="I285">
        <v>3</v>
      </c>
      <c r="J285" s="6">
        <v>0.180722891566265</v>
      </c>
      <c r="K285" t="s">
        <v>315</v>
      </c>
      <c r="L285" s="4">
        <v>6.74487951807229</v>
      </c>
      <c r="M285" s="4">
        <v>37.321666666666701</v>
      </c>
    </row>
    <row r="286" spans="1:13" ht="14.5" x14ac:dyDescent="0.35">
      <c r="A286" t="s">
        <v>293</v>
      </c>
      <c r="B286" s="3">
        <v>45726</v>
      </c>
      <c r="C286" t="s">
        <v>15</v>
      </c>
      <c r="D286" t="s">
        <v>43</v>
      </c>
      <c r="E286" s="4">
        <v>1486.45</v>
      </c>
      <c r="F286">
        <v>271</v>
      </c>
      <c r="G286">
        <v>53</v>
      </c>
      <c r="H286">
        <v>2025</v>
      </c>
      <c r="I286">
        <v>3</v>
      </c>
      <c r="J286" s="6">
        <v>0.19557195571955699</v>
      </c>
      <c r="K286" t="s">
        <v>312</v>
      </c>
      <c r="L286" s="4">
        <v>5.4850553505535098</v>
      </c>
      <c r="M286" s="4">
        <v>28.046226415094299</v>
      </c>
    </row>
    <row r="287" spans="1:13" ht="14.5" x14ac:dyDescent="0.35">
      <c r="A287" t="s">
        <v>294</v>
      </c>
      <c r="B287" s="3">
        <v>46226</v>
      </c>
      <c r="C287" t="s">
        <v>76</v>
      </c>
      <c r="D287" t="s">
        <v>11</v>
      </c>
      <c r="E287" s="4">
        <v>609.80999999999995</v>
      </c>
      <c r="F287">
        <v>426</v>
      </c>
      <c r="G287">
        <v>4</v>
      </c>
      <c r="H287">
        <v>2026</v>
      </c>
      <c r="I287">
        <v>7</v>
      </c>
      <c r="J287" s="6">
        <v>9.3896713615023494E-3</v>
      </c>
      <c r="K287" t="s">
        <v>315</v>
      </c>
      <c r="L287" s="4">
        <v>1.4314788732394399</v>
      </c>
      <c r="M287" s="4">
        <v>152.45249999999999</v>
      </c>
    </row>
    <row r="288" spans="1:13" ht="14.5" x14ac:dyDescent="0.35">
      <c r="A288" t="s">
        <v>295</v>
      </c>
      <c r="B288" s="3">
        <v>45831</v>
      </c>
      <c r="C288" t="s">
        <v>15</v>
      </c>
      <c r="D288" t="s">
        <v>33</v>
      </c>
      <c r="E288" s="4">
        <v>4216.83</v>
      </c>
      <c r="F288">
        <v>508</v>
      </c>
      <c r="G288">
        <v>70</v>
      </c>
      <c r="H288">
        <v>2025</v>
      </c>
      <c r="I288">
        <v>6</v>
      </c>
      <c r="J288" s="6">
        <v>0.13779527559055099</v>
      </c>
      <c r="K288" t="s">
        <v>315</v>
      </c>
      <c r="L288" s="4">
        <v>8.3008464566929092</v>
      </c>
      <c r="M288" s="4">
        <v>60.240428571428602</v>
      </c>
    </row>
    <row r="289" spans="1:13" ht="14.5" x14ac:dyDescent="0.35">
      <c r="A289" t="s">
        <v>296</v>
      </c>
      <c r="B289" s="3">
        <v>45865</v>
      </c>
      <c r="C289" t="s">
        <v>10</v>
      </c>
      <c r="D289" t="s">
        <v>43</v>
      </c>
      <c r="E289" s="4">
        <v>3178.53</v>
      </c>
      <c r="F289">
        <v>345</v>
      </c>
      <c r="G289">
        <v>73</v>
      </c>
      <c r="H289">
        <v>2025</v>
      </c>
      <c r="I289">
        <v>7</v>
      </c>
      <c r="J289" s="6">
        <v>0.21159420289855099</v>
      </c>
      <c r="K289" t="s">
        <v>312</v>
      </c>
      <c r="L289" s="4">
        <v>9.2131304347826095</v>
      </c>
      <c r="M289" s="4">
        <v>43.541506849315098</v>
      </c>
    </row>
    <row r="290" spans="1:13" ht="14.5" x14ac:dyDescent="0.35">
      <c r="A290" t="s">
        <v>297</v>
      </c>
      <c r="B290" s="3">
        <v>46003</v>
      </c>
      <c r="C290" t="s">
        <v>10</v>
      </c>
      <c r="D290" t="s">
        <v>11</v>
      </c>
      <c r="E290" s="4">
        <v>4635.24</v>
      </c>
      <c r="F290">
        <v>886</v>
      </c>
      <c r="G290">
        <v>199</v>
      </c>
      <c r="H290">
        <v>2025</v>
      </c>
      <c r="I290">
        <v>12</v>
      </c>
      <c r="J290" s="6">
        <v>0.22460496613995501</v>
      </c>
      <c r="K290" t="s">
        <v>312</v>
      </c>
      <c r="L290" s="4">
        <v>5.2316478555304702</v>
      </c>
      <c r="M290" s="4">
        <v>23.2926633165829</v>
      </c>
    </row>
    <row r="291" spans="1:13" ht="14.5" x14ac:dyDescent="0.35">
      <c r="A291" t="s">
        <v>298</v>
      </c>
      <c r="B291" s="3">
        <v>46127</v>
      </c>
      <c r="C291" t="s">
        <v>24</v>
      </c>
      <c r="D291" t="s">
        <v>43</v>
      </c>
      <c r="E291" s="4">
        <v>2436.4299999999998</v>
      </c>
      <c r="F291">
        <v>554</v>
      </c>
      <c r="G291">
        <v>141</v>
      </c>
      <c r="H291">
        <v>2026</v>
      </c>
      <c r="I291">
        <v>4</v>
      </c>
      <c r="J291" s="6">
        <v>0.25451263537906099</v>
      </c>
      <c r="K291" t="s">
        <v>312</v>
      </c>
      <c r="L291" s="4">
        <v>4.3978880866425998</v>
      </c>
      <c r="M291" s="4">
        <v>17.2796453900709</v>
      </c>
    </row>
    <row r="292" spans="1:13" ht="14.5" x14ac:dyDescent="0.35">
      <c r="A292" t="s">
        <v>299</v>
      </c>
      <c r="B292" s="3">
        <v>45720</v>
      </c>
      <c r="C292" t="s">
        <v>15</v>
      </c>
      <c r="D292" t="s">
        <v>35</v>
      </c>
      <c r="E292" s="4">
        <v>3342.91</v>
      </c>
      <c r="F292">
        <v>599</v>
      </c>
      <c r="G292">
        <v>124</v>
      </c>
      <c r="H292">
        <v>2025</v>
      </c>
      <c r="I292">
        <v>3</v>
      </c>
      <c r="J292" s="6">
        <v>0.20701168614357299</v>
      </c>
      <c r="K292" t="s">
        <v>312</v>
      </c>
      <c r="L292" s="4">
        <v>5.5808180300500796</v>
      </c>
      <c r="M292" s="4">
        <v>26.958951612903199</v>
      </c>
    </row>
    <row r="293" spans="1:13" ht="14.5" x14ac:dyDescent="0.35">
      <c r="A293" t="s">
        <v>300</v>
      </c>
      <c r="B293" s="3">
        <v>46007</v>
      </c>
      <c r="C293" t="s">
        <v>15</v>
      </c>
      <c r="D293" t="s">
        <v>11</v>
      </c>
      <c r="E293" s="4">
        <v>2877.39</v>
      </c>
      <c r="F293">
        <v>463</v>
      </c>
      <c r="G293">
        <v>73</v>
      </c>
      <c r="H293">
        <v>2025</v>
      </c>
      <c r="I293">
        <v>12</v>
      </c>
      <c r="J293" s="6">
        <v>0.15766738660907101</v>
      </c>
      <c r="K293" t="s">
        <v>315</v>
      </c>
      <c r="L293" s="4">
        <v>6.2146652267818601</v>
      </c>
      <c r="M293" s="4">
        <v>39.416301369863</v>
      </c>
    </row>
    <row r="294" spans="1:13" ht="14.5" x14ac:dyDescent="0.35">
      <c r="A294" t="s">
        <v>301</v>
      </c>
      <c r="B294" s="3">
        <v>45727</v>
      </c>
      <c r="C294" t="s">
        <v>76</v>
      </c>
      <c r="D294" t="s">
        <v>43</v>
      </c>
      <c r="E294" s="4">
        <v>3509.09</v>
      </c>
      <c r="F294">
        <v>714</v>
      </c>
      <c r="G294">
        <v>42</v>
      </c>
      <c r="H294">
        <v>2025</v>
      </c>
      <c r="I294">
        <v>3</v>
      </c>
      <c r="J294" s="6">
        <v>5.8823529411764698E-2</v>
      </c>
      <c r="K294" t="s">
        <v>315</v>
      </c>
      <c r="L294" s="4">
        <v>4.9146918767507</v>
      </c>
      <c r="M294" s="4">
        <v>83.549761904761894</v>
      </c>
    </row>
    <row r="295" spans="1:13" ht="14.5" x14ac:dyDescent="0.35">
      <c r="A295" t="s">
        <v>302</v>
      </c>
      <c r="B295" s="3">
        <v>46215</v>
      </c>
      <c r="C295" t="s">
        <v>24</v>
      </c>
      <c r="D295" t="s">
        <v>17</v>
      </c>
      <c r="E295" s="4">
        <v>3794.91</v>
      </c>
      <c r="F295">
        <v>442</v>
      </c>
      <c r="G295">
        <v>77</v>
      </c>
      <c r="H295">
        <v>2026</v>
      </c>
      <c r="I295">
        <v>7</v>
      </c>
      <c r="J295" s="6">
        <v>0.17420814479638</v>
      </c>
      <c r="K295" t="s">
        <v>315</v>
      </c>
      <c r="L295" s="4">
        <v>8.5857692307692304</v>
      </c>
      <c r="M295" s="4">
        <v>49.284545454545501</v>
      </c>
    </row>
    <row r="296" spans="1:13" ht="14.5" x14ac:dyDescent="0.35">
      <c r="A296" t="s">
        <v>303</v>
      </c>
      <c r="B296" s="3">
        <v>45887</v>
      </c>
      <c r="C296" t="s">
        <v>19</v>
      </c>
      <c r="D296" t="s">
        <v>33</v>
      </c>
      <c r="E296" s="4">
        <v>4177.41</v>
      </c>
      <c r="F296">
        <v>427</v>
      </c>
      <c r="G296">
        <v>69</v>
      </c>
      <c r="H296">
        <v>2025</v>
      </c>
      <c r="I296">
        <v>8</v>
      </c>
      <c r="J296" s="6">
        <v>0.16159250585480101</v>
      </c>
      <c r="K296" t="s">
        <v>315</v>
      </c>
      <c r="L296" s="4">
        <v>9.7831615925058504</v>
      </c>
      <c r="M296" s="4">
        <v>60.542173913043499</v>
      </c>
    </row>
    <row r="302" spans="1:13" ht="15" customHeight="1" x14ac:dyDescent="0.35">
      <c r="E302" s="4">
        <f>SUM(E4:E296)</f>
        <v>821022.83500000054</v>
      </c>
    </row>
  </sheetData>
  <mergeCells count="1">
    <mergeCell ref="A1:P1"/>
  </mergeCells>
  <conditionalFormatting sqref="E4:E296">
    <cfRule type="colorScale" priority="3">
      <colorScale>
        <cfvo type="min"/>
        <cfvo type="percentile" val="50"/>
        <cfvo type="max"/>
        <color rgb="FFF8696B"/>
        <color rgb="FFFFEB84"/>
        <color rgb="FF63BE7B"/>
      </colorScale>
    </cfRule>
  </conditionalFormatting>
  <conditionalFormatting sqref="J4:J296">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D422-8C21-4907-98C2-81B9740F255A}">
  <dimension ref="A3:B24"/>
  <sheetViews>
    <sheetView workbookViewId="0">
      <selection activeCell="B5" sqref="B5"/>
    </sheetView>
  </sheetViews>
  <sheetFormatPr defaultRowHeight="14.5" x14ac:dyDescent="0.35"/>
  <cols>
    <col min="1" max="1" width="12.36328125" bestFit="1" customWidth="1"/>
    <col min="2" max="2" width="14.26953125" bestFit="1" customWidth="1"/>
  </cols>
  <sheetData>
    <row r="3" spans="1:2" x14ac:dyDescent="0.35">
      <c r="A3" s="38" t="s">
        <v>448</v>
      </c>
      <c r="B3" t="s">
        <v>450</v>
      </c>
    </row>
    <row r="4" spans="1:2" x14ac:dyDescent="0.35">
      <c r="A4" s="39" t="s">
        <v>24</v>
      </c>
      <c r="B4" s="4">
        <v>112384.86500000001</v>
      </c>
    </row>
    <row r="5" spans="1:2" x14ac:dyDescent="0.35">
      <c r="A5" s="39" t="s">
        <v>19</v>
      </c>
      <c r="B5" s="4">
        <v>101777.985</v>
      </c>
    </row>
    <row r="6" spans="1:2" x14ac:dyDescent="0.35">
      <c r="A6" s="39" t="s">
        <v>76</v>
      </c>
      <c r="B6" s="4">
        <v>109347.25499999998</v>
      </c>
    </row>
    <row r="7" spans="1:2" x14ac:dyDescent="0.35">
      <c r="A7" s="39" t="s">
        <v>10</v>
      </c>
      <c r="B7" s="4">
        <v>210050.28499999992</v>
      </c>
    </row>
    <row r="8" spans="1:2" x14ac:dyDescent="0.35">
      <c r="A8" s="39" t="s">
        <v>15</v>
      </c>
      <c r="B8" s="4">
        <v>233155.51500000001</v>
      </c>
    </row>
    <row r="9" spans="1:2" x14ac:dyDescent="0.35">
      <c r="A9" s="39" t="s">
        <v>33</v>
      </c>
      <c r="B9" s="4">
        <v>54306.93</v>
      </c>
    </row>
    <row r="10" spans="1:2" x14ac:dyDescent="0.35">
      <c r="A10" s="39" t="s">
        <v>449</v>
      </c>
      <c r="B10" s="4">
        <v>821022.83499999996</v>
      </c>
    </row>
    <row r="21" spans="1:2" x14ac:dyDescent="0.35">
      <c r="A21" s="38" t="s">
        <v>448</v>
      </c>
      <c r="B21" t="s">
        <v>453</v>
      </c>
    </row>
    <row r="22" spans="1:2" x14ac:dyDescent="0.35">
      <c r="A22" s="39">
        <v>2025</v>
      </c>
      <c r="B22" s="49">
        <v>190</v>
      </c>
    </row>
    <row r="23" spans="1:2" x14ac:dyDescent="0.35">
      <c r="A23" s="39">
        <v>2026</v>
      </c>
      <c r="B23" s="49">
        <v>103</v>
      </c>
    </row>
    <row r="24" spans="1:2" x14ac:dyDescent="0.35">
      <c r="A24" s="39" t="s">
        <v>449</v>
      </c>
      <c r="B24" s="49">
        <v>293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4A07-AD5B-422B-976C-2DC1C2C2C7F6}">
  <dimension ref="A1"/>
  <sheetViews>
    <sheetView workbookViewId="0">
      <selection activeCell="M8" sqref="M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showGridLines="0" zoomScaleNormal="100" workbookViewId="0">
      <pane ySplit="3" topLeftCell="A4" activePane="bottomLeft" state="frozen"/>
      <selection pane="bottomLeft" activeCell="B14" sqref="B14"/>
    </sheetView>
  </sheetViews>
  <sheetFormatPr defaultColWidth="8.6328125" defaultRowHeight="15" customHeight="1" x14ac:dyDescent="0.35"/>
  <cols>
    <col min="1" max="1" width="25" customWidth="1"/>
    <col min="2" max="2" width="40" customWidth="1"/>
    <col min="3" max="3" width="18" customWidth="1"/>
    <col min="5" max="5" width="18" customWidth="1"/>
    <col min="6" max="6" width="52" customWidth="1"/>
    <col min="7" max="7" width="28" customWidth="1"/>
  </cols>
  <sheetData>
    <row r="1" spans="1:7" ht="20" x14ac:dyDescent="0.4">
      <c r="A1" s="45" t="s">
        <v>342</v>
      </c>
      <c r="B1" s="45"/>
      <c r="C1" s="45"/>
      <c r="D1" s="45"/>
      <c r="E1" s="45"/>
      <c r="F1" s="45"/>
    </row>
    <row r="3" spans="1:7" ht="14.5" x14ac:dyDescent="0.35">
      <c r="A3" s="8" t="s">
        <v>343</v>
      </c>
      <c r="B3" s="8" t="s">
        <v>344</v>
      </c>
      <c r="C3" s="8" t="s">
        <v>345</v>
      </c>
      <c r="E3" s="9" t="s">
        <v>346</v>
      </c>
    </row>
    <row r="4" spans="1:7" ht="14.5" x14ac:dyDescent="0.35">
      <c r="A4" s="7" t="s">
        <v>347</v>
      </c>
      <c r="B4" s="4">
        <f>SUM(Clean_Data!E4:E296)</f>
        <v>821022.83500000054</v>
      </c>
      <c r="C4" s="4">
        <f>SUM(Clean_Data!E4:E296)</f>
        <v>821022.83500000054</v>
      </c>
      <c r="E4" s="7" t="s">
        <v>348</v>
      </c>
      <c r="F4" s="4">
        <f>SUM(Clean_Data!E4:E296)</f>
        <v>821022.83500000054</v>
      </c>
      <c r="G4" t="s">
        <v>349</v>
      </c>
    </row>
    <row r="5" spans="1:7" ht="14.5" x14ac:dyDescent="0.35">
      <c r="A5" s="7" t="s">
        <v>350</v>
      </c>
      <c r="B5" s="4">
        <f>AVERAGE(Clean_Data!E4:E296)</f>
        <v>2802.1257167235512</v>
      </c>
      <c r="C5" s="4">
        <f>AVERAGE(Clean_Data!E4:E296)</f>
        <v>2802.1257167235512</v>
      </c>
      <c r="E5" s="7" t="s">
        <v>351</v>
      </c>
      <c r="F5" s="4">
        <f>AVERAGE(Clean_Data!E4:E296)</f>
        <v>2802.1257167235512</v>
      </c>
      <c r="G5" t="s">
        <v>352</v>
      </c>
    </row>
    <row r="6" spans="1:7" ht="14.5" x14ac:dyDescent="0.35">
      <c r="A6" s="7" t="s">
        <v>353</v>
      </c>
      <c r="B6">
        <f>COUNT(Clean_Data!E4:E296)</f>
        <v>293</v>
      </c>
      <c r="C6" s="10">
        <f>COUNT(Clean_Data!E4:E296)</f>
        <v>293</v>
      </c>
      <c r="E6" s="7" t="s">
        <v>354</v>
      </c>
      <c r="F6">
        <f>COUNT(Clean_Data!E4:E296)</f>
        <v>293</v>
      </c>
      <c r="G6" t="s">
        <v>355</v>
      </c>
    </row>
    <row r="7" spans="1:7" ht="14.5" x14ac:dyDescent="0.35">
      <c r="A7" s="7" t="s">
        <v>356</v>
      </c>
      <c r="B7" s="4">
        <f>MIN(Clean_Data!E4:E296)</f>
        <v>-9</v>
      </c>
      <c r="C7" s="4">
        <f>MIN(Clean_Data!E4:E296)</f>
        <v>-9</v>
      </c>
      <c r="E7" s="7" t="s">
        <v>357</v>
      </c>
      <c r="F7" s="4">
        <f>MIN(Clean_Data!E4:E296)</f>
        <v>-9</v>
      </c>
      <c r="G7" t="s">
        <v>358</v>
      </c>
    </row>
    <row r="8" spans="1:7" ht="14.5" x14ac:dyDescent="0.35">
      <c r="A8" s="7" t="s">
        <v>359</v>
      </c>
      <c r="B8" s="4">
        <f>MAX(Clean_Data!E4:E296)</f>
        <v>10024</v>
      </c>
      <c r="C8" s="4">
        <f>MAX(Clean_Data!E4:E296)</f>
        <v>10024</v>
      </c>
      <c r="E8" s="7" t="s">
        <v>360</v>
      </c>
      <c r="F8" s="4">
        <f>MAX(Clean_Data!E4:E296)</f>
        <v>10024</v>
      </c>
      <c r="G8" t="s">
        <v>361</v>
      </c>
    </row>
    <row r="9" spans="1:7" ht="14.5" x14ac:dyDescent="0.35">
      <c r="A9" s="7" t="s">
        <v>362</v>
      </c>
      <c r="B9">
        <f>SUM(Clean_Data!F4:F296)</f>
        <v>134724</v>
      </c>
      <c r="C9" s="10">
        <f>SUM(Clean_Data!F4:F296)</f>
        <v>134724</v>
      </c>
      <c r="E9" s="7" t="s">
        <v>363</v>
      </c>
      <c r="F9">
        <f>SUMIF(Clean_Data!C4:C296,"Search",Clean_Data!E4:E296)</f>
        <v>210050.28499999992</v>
      </c>
      <c r="G9" t="s">
        <v>364</v>
      </c>
    </row>
    <row r="10" spans="1:7" ht="14.5" x14ac:dyDescent="0.35">
      <c r="A10" s="7" t="s">
        <v>365</v>
      </c>
      <c r="B10">
        <f>SUM(Clean_Data!G4:G296)</f>
        <v>24658</v>
      </c>
      <c r="C10" s="10">
        <f>SUM(Clean_Data!G4:G296)</f>
        <v>24658</v>
      </c>
      <c r="E10" s="7" t="s">
        <v>366</v>
      </c>
      <c r="F10">
        <f>COUNTIF(Clean_Data!C4:C296,"Search")</f>
        <v>81</v>
      </c>
      <c r="G10" t="s">
        <v>367</v>
      </c>
    </row>
    <row r="11" spans="1:7" ht="14.5" x14ac:dyDescent="0.35">
      <c r="A11" s="7" t="s">
        <v>368</v>
      </c>
      <c r="B11">
        <f>SUM(Clean_Data!G4:G296)/SUM(Clean_Data!F4:F296)</f>
        <v>0.18302603841928683</v>
      </c>
      <c r="C11" s="6">
        <f>SUM(Clean_Data!G4:G296)/SUM(Clean_Data!F4:F296)</f>
        <v>0.18302603841928683</v>
      </c>
      <c r="E11" s="7" t="s">
        <v>369</v>
      </c>
      <c r="F11">
        <f>AVERAGEIF(Clean_Data!C4:C296,"Search",Clean_Data!E4:E296)</f>
        <v>2593.2133950617272</v>
      </c>
      <c r="G11" t="s">
        <v>370</v>
      </c>
    </row>
    <row r="12" spans="1:7" ht="14.5" x14ac:dyDescent="0.35">
      <c r="A12" s="7" t="s">
        <v>371</v>
      </c>
      <c r="B12" s="11">
        <f>AVERAGE(Clean_Data!J4:J296)</f>
        <v>0.19664224379416928</v>
      </c>
      <c r="C12" s="6">
        <f>AVERAGE(Clean_Data!J4:J296)</f>
        <v>0.19664224379416928</v>
      </c>
      <c r="E12" s="7" t="s">
        <v>372</v>
      </c>
      <c r="F12" t="str">
        <f>IF(J4&gt;=0.2,"High","Low")</f>
        <v>Low</v>
      </c>
      <c r="G12" t="s">
        <v>373</v>
      </c>
    </row>
    <row r="13" spans="1:7" ht="14.5" x14ac:dyDescent="0.35">
      <c r="A13" s="7" t="s">
        <v>374</v>
      </c>
      <c r="B13" s="4">
        <f>AVERAGE(Clean_Data!L4:L296)</f>
        <v>7.0090317590520854</v>
      </c>
      <c r="C13" s="4">
        <f>AVERAGE(Clean_Data!L4:L296)</f>
        <v>7.0090317590520854</v>
      </c>
      <c r="E13" s="7" t="s">
        <v>375</v>
      </c>
      <c r="F13" t="str">
        <f>IF(AND(J4&gt;=0.2,L4&lt;5),"Efficient","Review")</f>
        <v>Review</v>
      </c>
      <c r="G13" t="s">
        <v>376</v>
      </c>
    </row>
    <row r="14" spans="1:7" ht="14.5" x14ac:dyDescent="0.35">
      <c r="E14" s="7" t="s">
        <v>377</v>
      </c>
      <c r="F14" s="12">
        <f ca="1">TODAY()</f>
        <v>46261</v>
      </c>
      <c r="G14" t="s">
        <v>378</v>
      </c>
    </row>
    <row r="15" spans="1:7" ht="14.5" x14ac:dyDescent="0.35">
      <c r="E15" s="7" t="s">
        <v>379</v>
      </c>
      <c r="F15">
        <f>YEAR(B4)</f>
        <v>4147</v>
      </c>
      <c r="G15" t="s">
        <v>305</v>
      </c>
    </row>
    <row r="16" spans="1:7" ht="14.5" x14ac:dyDescent="0.35">
      <c r="E16" s="7" t="s">
        <v>380</v>
      </c>
      <c r="F16">
        <f>MONTH(B4)</f>
        <v>11</v>
      </c>
      <c r="G16" t="s">
        <v>306</v>
      </c>
    </row>
    <row r="17" spans="5:7" ht="14.5" x14ac:dyDescent="0.35">
      <c r="E17" s="7" t="s">
        <v>381</v>
      </c>
      <c r="F17">
        <f>DAY(B4)</f>
        <v>17</v>
      </c>
      <c r="G17" t="s">
        <v>382</v>
      </c>
    </row>
    <row r="18" spans="5:7" ht="14.5" x14ac:dyDescent="0.35">
      <c r="E18" s="7" t="s">
        <v>383</v>
      </c>
      <c r="F18">
        <f ca="1">NETWORKDAYS(B4,TODAY())</f>
        <v>-553402</v>
      </c>
      <c r="G18" t="s">
        <v>384</v>
      </c>
    </row>
    <row r="19" spans="5:7" ht="14.5" x14ac:dyDescent="0.35">
      <c r="E19" s="7" t="s">
        <v>385</v>
      </c>
      <c r="F19" t="str">
        <f>TRIM(C4)</f>
        <v>821022.835000001</v>
      </c>
      <c r="G19" t="s">
        <v>386</v>
      </c>
    </row>
    <row r="20" spans="5:7" ht="14.5" x14ac:dyDescent="0.35">
      <c r="E20" s="7" t="s">
        <v>387</v>
      </c>
      <c r="F20" t="str">
        <f>UPPER(C4)</f>
        <v>821022.835000001</v>
      </c>
      <c r="G20" t="s">
        <v>388</v>
      </c>
    </row>
    <row r="21" spans="5:7" ht="14.5" x14ac:dyDescent="0.35">
      <c r="E21" s="7" t="s">
        <v>389</v>
      </c>
      <c r="F21" t="str">
        <f>PROPER(D4)</f>
        <v/>
      </c>
      <c r="G21" t="s">
        <v>390</v>
      </c>
    </row>
    <row r="22" spans="5:7" ht="14.5" x14ac:dyDescent="0.35">
      <c r="E22" s="7" t="s">
        <v>391</v>
      </c>
      <c r="F22" t="str">
        <f>SUBSTITUTE(C4," ","_")</f>
        <v>821022.835000001</v>
      </c>
      <c r="G22" t="s">
        <v>392</v>
      </c>
    </row>
  </sheetData>
  <mergeCells count="1">
    <mergeCell ref="A1:F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4"/>
  <sheetViews>
    <sheetView showGridLines="0" zoomScaleNormal="100" workbookViewId="0">
      <pane ySplit="3" topLeftCell="A16" activePane="bottomLeft" state="frozen"/>
      <selection pane="bottomLeft" activeCell="K34" sqref="K34"/>
    </sheetView>
  </sheetViews>
  <sheetFormatPr defaultColWidth="8.6328125" defaultRowHeight="15" customHeight="1" x14ac:dyDescent="0.35"/>
  <cols>
    <col min="1" max="1" width="24" customWidth="1"/>
    <col min="2" max="2" width="18" customWidth="1"/>
    <col min="3" max="5" width="16" customWidth="1"/>
    <col min="6" max="6" width="18" customWidth="1"/>
    <col min="11" max="11" width="10.81640625" bestFit="1" customWidth="1"/>
  </cols>
  <sheetData>
    <row r="1" spans="1:11" ht="20" x14ac:dyDescent="0.4">
      <c r="A1" s="45" t="s">
        <v>393</v>
      </c>
      <c r="B1" s="45"/>
      <c r="C1" s="45"/>
      <c r="D1" s="45"/>
      <c r="E1" s="45"/>
      <c r="F1" s="45"/>
      <c r="G1" s="45"/>
      <c r="H1" s="45"/>
    </row>
    <row r="2" spans="1:11" ht="14.5" x14ac:dyDescent="0.35">
      <c r="A2" s="13" t="s">
        <v>394</v>
      </c>
    </row>
    <row r="3" spans="1:11" ht="14.5" x14ac:dyDescent="0.35">
      <c r="I3" t="s">
        <v>395</v>
      </c>
    </row>
    <row r="4" spans="1:11" ht="16.5" x14ac:dyDescent="0.35">
      <c r="A4" s="5" t="s">
        <v>396</v>
      </c>
      <c r="I4" s="14" t="s">
        <v>305</v>
      </c>
      <c r="J4" s="15" t="s">
        <v>397</v>
      </c>
    </row>
    <row r="5" spans="1:11" ht="14.5" x14ac:dyDescent="0.35">
      <c r="A5" s="8" t="s">
        <v>4</v>
      </c>
      <c r="B5" s="8" t="s">
        <v>398</v>
      </c>
      <c r="C5" s="8" t="s">
        <v>6</v>
      </c>
      <c r="D5" s="8" t="s">
        <v>7</v>
      </c>
      <c r="E5" s="8" t="s">
        <v>8</v>
      </c>
      <c r="F5" s="8" t="s">
        <v>399</v>
      </c>
    </row>
    <row r="6" spans="1:11" ht="14.5" x14ac:dyDescent="0.35">
      <c r="A6" t="s">
        <v>24</v>
      </c>
      <c r="B6">
        <v>41</v>
      </c>
      <c r="C6">
        <v>112384.86500000001</v>
      </c>
      <c r="D6">
        <v>18307</v>
      </c>
      <c r="E6">
        <v>3724</v>
      </c>
      <c r="F6">
        <v>0.20341945703829101</v>
      </c>
      <c r="I6" s="16" t="s">
        <v>4</v>
      </c>
      <c r="J6" s="17" t="s">
        <v>400</v>
      </c>
      <c r="K6" s="18"/>
    </row>
    <row r="7" spans="1:11" ht="14.5" x14ac:dyDescent="0.35">
      <c r="A7" t="s">
        <v>19</v>
      </c>
      <c r="B7">
        <v>37</v>
      </c>
      <c r="C7">
        <v>101777.985</v>
      </c>
      <c r="D7">
        <v>17241</v>
      </c>
      <c r="E7">
        <v>2755</v>
      </c>
      <c r="F7">
        <v>0.15979351545734</v>
      </c>
      <c r="I7" s="19" t="s">
        <v>24</v>
      </c>
      <c r="J7" s="20" t="s">
        <v>401</v>
      </c>
      <c r="K7" s="21">
        <v>112384.86500000001</v>
      </c>
    </row>
    <row r="8" spans="1:11" ht="14.5" x14ac:dyDescent="0.35">
      <c r="A8" t="s">
        <v>76</v>
      </c>
      <c r="B8">
        <v>34</v>
      </c>
      <c r="C8">
        <v>109347.255</v>
      </c>
      <c r="D8">
        <v>16636</v>
      </c>
      <c r="E8">
        <v>1780</v>
      </c>
      <c r="F8">
        <v>0.10699687424861801</v>
      </c>
      <c r="I8" s="22"/>
      <c r="J8" s="23" t="s">
        <v>402</v>
      </c>
      <c r="K8" s="24">
        <v>18307</v>
      </c>
    </row>
    <row r="9" spans="1:11" ht="14.5" x14ac:dyDescent="0.35">
      <c r="A9" t="s">
        <v>10</v>
      </c>
      <c r="B9">
        <v>81</v>
      </c>
      <c r="C9">
        <v>210050.285</v>
      </c>
      <c r="D9">
        <v>36249</v>
      </c>
      <c r="E9">
        <v>8434</v>
      </c>
      <c r="F9">
        <v>0.232668487406549</v>
      </c>
      <c r="I9" s="25"/>
      <c r="J9" s="26" t="s">
        <v>403</v>
      </c>
      <c r="K9" s="27">
        <v>3724</v>
      </c>
    </row>
    <row r="10" spans="1:11" ht="14.5" x14ac:dyDescent="0.35">
      <c r="A10" t="s">
        <v>15</v>
      </c>
      <c r="B10">
        <v>82</v>
      </c>
      <c r="C10">
        <v>233155.51500000001</v>
      </c>
      <c r="D10">
        <v>36259</v>
      </c>
      <c r="E10">
        <v>5765</v>
      </c>
      <c r="F10">
        <v>0.158995008135911</v>
      </c>
      <c r="I10" s="19" t="s">
        <v>19</v>
      </c>
      <c r="J10" s="20" t="s">
        <v>401</v>
      </c>
      <c r="K10" s="21">
        <v>101777.985</v>
      </c>
    </row>
    <row r="11" spans="1:11" ht="14.5" x14ac:dyDescent="0.35">
      <c r="A11" t="s">
        <v>33</v>
      </c>
      <c r="B11">
        <v>18</v>
      </c>
      <c r="C11">
        <v>54306.93</v>
      </c>
      <c r="D11">
        <v>10032</v>
      </c>
      <c r="E11">
        <v>2200</v>
      </c>
      <c r="F11">
        <v>0.21929824561403499</v>
      </c>
      <c r="I11" s="22"/>
      <c r="J11" s="23" t="s">
        <v>402</v>
      </c>
      <c r="K11" s="24">
        <v>17241</v>
      </c>
    </row>
    <row r="12" spans="1:11" ht="14.5" x14ac:dyDescent="0.35">
      <c r="I12" s="25"/>
      <c r="J12" s="26" t="s">
        <v>403</v>
      </c>
      <c r="K12" s="27">
        <v>2755</v>
      </c>
    </row>
    <row r="13" spans="1:11" ht="14.5" x14ac:dyDescent="0.35">
      <c r="I13" s="19" t="s">
        <v>76</v>
      </c>
      <c r="J13" s="20" t="s">
        <v>401</v>
      </c>
      <c r="K13" s="21">
        <v>109347.255</v>
      </c>
    </row>
    <row r="14" spans="1:11" ht="16.5" x14ac:dyDescent="0.35">
      <c r="A14" s="5" t="s">
        <v>404</v>
      </c>
      <c r="I14" s="22"/>
      <c r="J14" s="23" t="s">
        <v>402</v>
      </c>
      <c r="K14" s="24">
        <v>16636</v>
      </c>
    </row>
    <row r="15" spans="1:11" ht="14.5" x14ac:dyDescent="0.35">
      <c r="A15" s="8" t="s">
        <v>5</v>
      </c>
      <c r="B15" s="8" t="s">
        <v>398</v>
      </c>
      <c r="C15" s="8" t="s">
        <v>6</v>
      </c>
      <c r="D15" s="8" t="s">
        <v>7</v>
      </c>
      <c r="E15" s="8" t="s">
        <v>8</v>
      </c>
      <c r="F15" s="8" t="s">
        <v>399</v>
      </c>
      <c r="I15" s="25"/>
      <c r="J15" s="26" t="s">
        <v>403</v>
      </c>
      <c r="K15" s="27">
        <v>1780</v>
      </c>
    </row>
    <row r="16" spans="1:11" ht="14.5" x14ac:dyDescent="0.35">
      <c r="A16" t="s">
        <v>35</v>
      </c>
      <c r="B16">
        <v>29</v>
      </c>
      <c r="C16">
        <v>88381.47</v>
      </c>
      <c r="D16">
        <v>13288</v>
      </c>
      <c r="E16">
        <v>2533</v>
      </c>
      <c r="F16">
        <v>0.19062311860325101</v>
      </c>
      <c r="I16" s="19" t="s">
        <v>10</v>
      </c>
      <c r="J16" s="20" t="s">
        <v>401</v>
      </c>
      <c r="K16" s="21">
        <v>210050.285</v>
      </c>
    </row>
    <row r="17" spans="1:11" ht="14.5" x14ac:dyDescent="0.35">
      <c r="A17" t="s">
        <v>43</v>
      </c>
      <c r="B17">
        <v>38</v>
      </c>
      <c r="C17">
        <v>99953.34</v>
      </c>
      <c r="D17">
        <v>16808</v>
      </c>
      <c r="E17">
        <v>3457</v>
      </c>
      <c r="F17">
        <v>0.20567586863398399</v>
      </c>
      <c r="I17" s="22"/>
      <c r="J17" s="23" t="s">
        <v>402</v>
      </c>
      <c r="K17" s="24">
        <v>36249</v>
      </c>
    </row>
    <row r="18" spans="1:11" ht="14.5" x14ac:dyDescent="0.35">
      <c r="A18" t="s">
        <v>21</v>
      </c>
      <c r="B18">
        <v>26</v>
      </c>
      <c r="C18">
        <v>73376.210000000006</v>
      </c>
      <c r="D18">
        <v>11888</v>
      </c>
      <c r="E18">
        <v>2405</v>
      </c>
      <c r="F18">
        <v>0.20230484522207301</v>
      </c>
      <c r="I18" s="25"/>
      <c r="J18" s="26" t="s">
        <v>403</v>
      </c>
      <c r="K18" s="27">
        <v>8434</v>
      </c>
    </row>
    <row r="19" spans="1:11" ht="14.5" x14ac:dyDescent="0.35">
      <c r="A19" t="s">
        <v>17</v>
      </c>
      <c r="B19">
        <v>59</v>
      </c>
      <c r="C19">
        <v>168177.14499999999</v>
      </c>
      <c r="D19">
        <v>26153</v>
      </c>
      <c r="E19">
        <v>4565</v>
      </c>
      <c r="F19">
        <v>0.17454976484533299</v>
      </c>
      <c r="I19" s="19" t="s">
        <v>15</v>
      </c>
      <c r="J19" s="20" t="s">
        <v>401</v>
      </c>
      <c r="K19" s="21">
        <v>233155.51500000001</v>
      </c>
    </row>
    <row r="20" spans="1:11" ht="14.5" x14ac:dyDescent="0.35">
      <c r="A20" t="s">
        <v>14</v>
      </c>
      <c r="B20">
        <v>32</v>
      </c>
      <c r="C20">
        <v>86475.55</v>
      </c>
      <c r="D20">
        <v>14361</v>
      </c>
      <c r="E20">
        <v>2634</v>
      </c>
      <c r="F20">
        <v>0.18341341132233099</v>
      </c>
      <c r="I20" s="22"/>
      <c r="J20" s="23" t="s">
        <v>402</v>
      </c>
      <c r="K20" s="24">
        <v>36259</v>
      </c>
    </row>
    <row r="21" spans="1:11" ht="14.5" x14ac:dyDescent="0.35">
      <c r="A21" t="s">
        <v>11</v>
      </c>
      <c r="B21">
        <v>93</v>
      </c>
      <c r="C21">
        <v>253404.54</v>
      </c>
      <c r="D21">
        <v>44435</v>
      </c>
      <c r="E21">
        <v>7942</v>
      </c>
      <c r="F21">
        <v>0.17873298075841099</v>
      </c>
      <c r="I21" t="s">
        <v>395</v>
      </c>
    </row>
    <row r="22" spans="1:11" ht="14.5" x14ac:dyDescent="0.35">
      <c r="A22" t="s">
        <v>33</v>
      </c>
      <c r="B22">
        <v>16</v>
      </c>
      <c r="C22">
        <v>51254.58</v>
      </c>
      <c r="D22">
        <v>7791</v>
      </c>
      <c r="E22">
        <v>1122</v>
      </c>
      <c r="F22">
        <v>0.14401232190989599</v>
      </c>
      <c r="I22" s="14" t="s">
        <v>4</v>
      </c>
      <c r="J22" s="15" t="s">
        <v>397</v>
      </c>
    </row>
    <row r="24" spans="1:11" ht="14.5" x14ac:dyDescent="0.35">
      <c r="I24" s="16" t="s">
        <v>5</v>
      </c>
      <c r="J24" s="17" t="s">
        <v>400</v>
      </c>
      <c r="K24" s="18"/>
    </row>
    <row r="25" spans="1:11" ht="16.5" x14ac:dyDescent="0.35">
      <c r="A25" s="5" t="s">
        <v>405</v>
      </c>
      <c r="I25" s="19" t="s">
        <v>35</v>
      </c>
      <c r="J25" s="20" t="s">
        <v>401</v>
      </c>
      <c r="K25" s="21">
        <v>88381.47</v>
      </c>
    </row>
    <row r="26" spans="1:11" ht="14.5" x14ac:dyDescent="0.35">
      <c r="A26" s="8" t="s">
        <v>305</v>
      </c>
      <c r="B26" s="8" t="s">
        <v>398</v>
      </c>
      <c r="C26" s="8" t="s">
        <v>6</v>
      </c>
      <c r="D26" s="8" t="s">
        <v>7</v>
      </c>
      <c r="E26" s="8" t="s">
        <v>8</v>
      </c>
      <c r="F26" s="8" t="s">
        <v>399</v>
      </c>
      <c r="I26" s="22"/>
      <c r="J26" s="23" t="s">
        <v>402</v>
      </c>
      <c r="K26" s="24">
        <v>13288</v>
      </c>
    </row>
    <row r="27" spans="1:11" ht="14.5" x14ac:dyDescent="0.35">
      <c r="A27">
        <v>2025</v>
      </c>
      <c r="B27">
        <v>190</v>
      </c>
      <c r="C27">
        <v>534903.77</v>
      </c>
      <c r="D27">
        <v>87542</v>
      </c>
      <c r="E27">
        <v>15533</v>
      </c>
      <c r="F27">
        <v>0.177434831280985</v>
      </c>
      <c r="I27" s="25"/>
      <c r="J27" s="26" t="s">
        <v>403</v>
      </c>
      <c r="K27" s="27">
        <v>2533</v>
      </c>
    </row>
    <row r="28" spans="1:11" ht="14.5" x14ac:dyDescent="0.35">
      <c r="A28">
        <v>2026</v>
      </c>
      <c r="B28">
        <v>103</v>
      </c>
      <c r="C28">
        <v>286119.065</v>
      </c>
      <c r="D28">
        <v>47182</v>
      </c>
      <c r="E28">
        <v>9125</v>
      </c>
      <c r="F28">
        <v>0.19340002543342799</v>
      </c>
      <c r="I28" s="19" t="s">
        <v>43</v>
      </c>
      <c r="J28" s="20" t="s">
        <v>401</v>
      </c>
      <c r="K28" s="21">
        <v>99953.34</v>
      </c>
    </row>
    <row r="29" spans="1:11" ht="14.5" x14ac:dyDescent="0.35">
      <c r="I29" s="22"/>
      <c r="J29" s="23" t="s">
        <v>402</v>
      </c>
      <c r="K29" s="24">
        <v>16808</v>
      </c>
    </row>
    <row r="30" spans="1:11" ht="14.5" x14ac:dyDescent="0.35">
      <c r="I30" s="25"/>
      <c r="J30" s="26" t="s">
        <v>403</v>
      </c>
      <c r="K30" s="27">
        <v>3457</v>
      </c>
    </row>
    <row r="31" spans="1:11" ht="16.5" x14ac:dyDescent="0.35">
      <c r="A31" s="5" t="s">
        <v>406</v>
      </c>
      <c r="I31" s="19" t="s">
        <v>21</v>
      </c>
      <c r="J31" s="20" t="s">
        <v>401</v>
      </c>
      <c r="K31" s="21">
        <v>73376.210000000006</v>
      </c>
    </row>
    <row r="32" spans="1:11" ht="14.5" x14ac:dyDescent="0.35">
      <c r="A32" s="8" t="s">
        <v>407</v>
      </c>
      <c r="B32" s="8" t="s">
        <v>7</v>
      </c>
      <c r="C32" s="8" t="s">
        <v>8</v>
      </c>
      <c r="I32" s="22"/>
      <c r="J32" s="23" t="s">
        <v>402</v>
      </c>
      <c r="K32" s="24">
        <v>11888</v>
      </c>
    </row>
    <row r="33" spans="1:11" ht="14.5" x14ac:dyDescent="0.35">
      <c r="A33" t="s">
        <v>408</v>
      </c>
      <c r="B33">
        <v>14257</v>
      </c>
      <c r="C33">
        <v>3027</v>
      </c>
      <c r="I33" s="25"/>
      <c r="J33" s="26" t="s">
        <v>403</v>
      </c>
      <c r="K33" s="27">
        <v>2405</v>
      </c>
    </row>
    <row r="34" spans="1:11" ht="14.5" x14ac:dyDescent="0.35">
      <c r="A34" t="s">
        <v>409</v>
      </c>
      <c r="B34">
        <v>10929</v>
      </c>
      <c r="C34">
        <v>1711</v>
      </c>
      <c r="I34" s="19" t="s">
        <v>17</v>
      </c>
      <c r="J34" s="20" t="s">
        <v>401</v>
      </c>
      <c r="K34" s="21">
        <v>168177.14499999999</v>
      </c>
    </row>
    <row r="35" spans="1:11" ht="14.5" x14ac:dyDescent="0.35">
      <c r="A35" t="s">
        <v>410</v>
      </c>
      <c r="B35">
        <v>14672</v>
      </c>
      <c r="C35">
        <v>2689</v>
      </c>
      <c r="I35" s="22"/>
      <c r="J35" s="23" t="s">
        <v>402</v>
      </c>
      <c r="K35" s="24">
        <v>26153</v>
      </c>
    </row>
    <row r="36" spans="1:11" ht="14.5" x14ac:dyDescent="0.35">
      <c r="A36" t="s">
        <v>411</v>
      </c>
      <c r="B36">
        <v>13562</v>
      </c>
      <c r="C36">
        <v>2395</v>
      </c>
      <c r="I36" s="25"/>
      <c r="J36" s="26" t="s">
        <v>403</v>
      </c>
      <c r="K36" s="27">
        <v>4565</v>
      </c>
    </row>
    <row r="37" spans="1:11" ht="14.5" x14ac:dyDescent="0.35">
      <c r="A37" t="s">
        <v>412</v>
      </c>
      <c r="B37">
        <v>13348</v>
      </c>
      <c r="C37">
        <v>2209</v>
      </c>
      <c r="I37" s="19" t="s">
        <v>14</v>
      </c>
      <c r="J37" s="20" t="s">
        <v>401</v>
      </c>
      <c r="K37" s="21">
        <v>86475.55</v>
      </c>
    </row>
    <row r="38" spans="1:11" ht="14.5" x14ac:dyDescent="0.35">
      <c r="A38" t="s">
        <v>413</v>
      </c>
      <c r="B38">
        <v>10159</v>
      </c>
      <c r="C38">
        <v>2016</v>
      </c>
      <c r="I38" s="22"/>
      <c r="J38" s="23" t="s">
        <v>402</v>
      </c>
      <c r="K38" s="24">
        <v>14361</v>
      </c>
    </row>
    <row r="39" spans="1:11" ht="14.5" x14ac:dyDescent="0.35">
      <c r="A39" t="s">
        <v>414</v>
      </c>
      <c r="B39">
        <v>16763</v>
      </c>
      <c r="C39">
        <v>2863</v>
      </c>
      <c r="I39" t="s">
        <v>395</v>
      </c>
    </row>
    <row r="40" spans="1:11" ht="14.5" x14ac:dyDescent="0.35">
      <c r="A40" t="s">
        <v>415</v>
      </c>
      <c r="B40">
        <v>7455</v>
      </c>
      <c r="C40">
        <v>1622</v>
      </c>
      <c r="I40" s="14" t="s">
        <v>5</v>
      </c>
      <c r="J40" s="15" t="s">
        <v>397</v>
      </c>
    </row>
    <row r="41" spans="1:11" ht="14.5" x14ac:dyDescent="0.35">
      <c r="A41" t="s">
        <v>416</v>
      </c>
      <c r="B41">
        <v>8354</v>
      </c>
      <c r="C41">
        <v>1605</v>
      </c>
    </row>
    <row r="42" spans="1:11" ht="14.5" x14ac:dyDescent="0.35">
      <c r="A42" t="s">
        <v>417</v>
      </c>
      <c r="B42">
        <v>11752</v>
      </c>
      <c r="C42">
        <v>2038</v>
      </c>
      <c r="I42" s="16" t="s">
        <v>305</v>
      </c>
      <c r="J42" s="17" t="s">
        <v>400</v>
      </c>
      <c r="K42" s="18"/>
    </row>
    <row r="43" spans="1:11" ht="14.5" x14ac:dyDescent="0.35">
      <c r="A43" t="s">
        <v>418</v>
      </c>
      <c r="B43">
        <v>4767</v>
      </c>
      <c r="C43">
        <v>892</v>
      </c>
      <c r="I43" s="19">
        <v>2025</v>
      </c>
      <c r="J43" s="20" t="s">
        <v>401</v>
      </c>
      <c r="K43" s="21">
        <v>534903.77</v>
      </c>
    </row>
    <row r="44" spans="1:11" ht="14.5" x14ac:dyDescent="0.35">
      <c r="A44" t="s">
        <v>419</v>
      </c>
      <c r="B44">
        <v>8706</v>
      </c>
      <c r="C44">
        <v>1591</v>
      </c>
      <c r="I44" s="22"/>
      <c r="J44" s="23" t="s">
        <v>402</v>
      </c>
      <c r="K44" s="24">
        <v>87542</v>
      </c>
    </row>
    <row r="45" spans="1:11" ht="14.5" x14ac:dyDescent="0.35">
      <c r="I45" s="25"/>
      <c r="J45" s="26" t="s">
        <v>403</v>
      </c>
      <c r="K45" s="27">
        <v>15533</v>
      </c>
    </row>
    <row r="46" spans="1:11" ht="14.5" x14ac:dyDescent="0.35">
      <c r="I46" s="19">
        <v>2026</v>
      </c>
      <c r="J46" s="20" t="s">
        <v>401</v>
      </c>
      <c r="K46" s="21">
        <v>286119.065</v>
      </c>
    </row>
    <row r="47" spans="1:11" ht="16.5" x14ac:dyDescent="0.35">
      <c r="A47" s="5" t="s">
        <v>420</v>
      </c>
      <c r="I47" s="22"/>
      <c r="J47" s="23" t="s">
        <v>402</v>
      </c>
      <c r="K47" s="24">
        <v>47182</v>
      </c>
    </row>
    <row r="48" spans="1:11" ht="14.5" x14ac:dyDescent="0.35">
      <c r="A48" s="7" t="s">
        <v>4</v>
      </c>
      <c r="B48" t="s">
        <v>421</v>
      </c>
      <c r="I48" s="25"/>
      <c r="J48" s="26" t="s">
        <v>403</v>
      </c>
      <c r="K48" s="27">
        <v>9125</v>
      </c>
    </row>
    <row r="49" spans="1:11" ht="14.5" x14ac:dyDescent="0.35">
      <c r="A49" s="7" t="s">
        <v>5</v>
      </c>
      <c r="B49" t="s">
        <v>422</v>
      </c>
      <c r="I49" s="28" t="s">
        <v>423</v>
      </c>
      <c r="J49" s="29"/>
      <c r="K49" s="30">
        <v>821022.83500000101</v>
      </c>
    </row>
    <row r="50" spans="1:11" ht="14.5" x14ac:dyDescent="0.35">
      <c r="A50" s="7" t="s">
        <v>305</v>
      </c>
      <c r="B50" t="s">
        <v>424</v>
      </c>
      <c r="I50" s="28" t="s">
        <v>425</v>
      </c>
      <c r="J50" s="29"/>
      <c r="K50" s="31">
        <v>134724</v>
      </c>
    </row>
    <row r="51" spans="1:11" ht="14.5" x14ac:dyDescent="0.35">
      <c r="A51" s="7" t="s">
        <v>306</v>
      </c>
      <c r="B51" t="s">
        <v>426</v>
      </c>
      <c r="I51" s="32" t="s">
        <v>427</v>
      </c>
      <c r="J51" s="33"/>
      <c r="K51" s="34">
        <v>24658</v>
      </c>
    </row>
    <row r="55" spans="1:11" ht="14.5" x14ac:dyDescent="0.35">
      <c r="I55" t="s">
        <v>395</v>
      </c>
    </row>
    <row r="56" spans="1:11" ht="14.5" x14ac:dyDescent="0.35">
      <c r="I56" s="14" t="s">
        <v>4</v>
      </c>
      <c r="J56" s="15" t="s">
        <v>397</v>
      </c>
    </row>
    <row r="58" spans="1:11" ht="14.5" x14ac:dyDescent="0.35">
      <c r="I58" s="16" t="s">
        <v>306</v>
      </c>
      <c r="J58" s="17" t="s">
        <v>400</v>
      </c>
      <c r="K58" s="18"/>
    </row>
    <row r="59" spans="1:11" ht="14.5" x14ac:dyDescent="0.35">
      <c r="I59" s="19">
        <v>1</v>
      </c>
      <c r="J59" s="20" t="s">
        <v>402</v>
      </c>
      <c r="K59" s="35">
        <v>14257</v>
      </c>
    </row>
    <row r="60" spans="1:11" ht="14.5" x14ac:dyDescent="0.35">
      <c r="I60" s="25"/>
      <c r="J60" s="26" t="s">
        <v>403</v>
      </c>
      <c r="K60" s="27">
        <v>3027</v>
      </c>
    </row>
    <row r="61" spans="1:11" ht="14.5" x14ac:dyDescent="0.35">
      <c r="I61" s="19">
        <v>2</v>
      </c>
      <c r="J61" s="20" t="s">
        <v>402</v>
      </c>
      <c r="K61" s="35">
        <v>10929</v>
      </c>
    </row>
    <row r="62" spans="1:11" ht="14.5" x14ac:dyDescent="0.35">
      <c r="I62" s="25"/>
      <c r="J62" s="26" t="s">
        <v>403</v>
      </c>
      <c r="K62" s="27">
        <v>1711</v>
      </c>
    </row>
    <row r="63" spans="1:11" ht="14.5" x14ac:dyDescent="0.35">
      <c r="I63" s="19">
        <v>3</v>
      </c>
      <c r="J63" s="20" t="s">
        <v>402</v>
      </c>
      <c r="K63" s="35">
        <v>14672</v>
      </c>
    </row>
    <row r="64" spans="1:11" ht="14.5" x14ac:dyDescent="0.35">
      <c r="I64" s="25"/>
      <c r="J64" s="26" t="s">
        <v>403</v>
      </c>
      <c r="K64" s="27">
        <v>2689</v>
      </c>
    </row>
    <row r="65" spans="9:11" ht="14.5" x14ac:dyDescent="0.35">
      <c r="I65" s="19">
        <v>4</v>
      </c>
      <c r="J65" s="20" t="s">
        <v>402</v>
      </c>
      <c r="K65" s="35">
        <v>13562</v>
      </c>
    </row>
    <row r="66" spans="9:11" ht="14.5" x14ac:dyDescent="0.35">
      <c r="I66" s="25"/>
      <c r="J66" s="26" t="s">
        <v>403</v>
      </c>
      <c r="K66" s="27">
        <v>2395</v>
      </c>
    </row>
    <row r="67" spans="9:11" ht="14.5" x14ac:dyDescent="0.35">
      <c r="I67" s="19">
        <v>5</v>
      </c>
      <c r="J67" s="20" t="s">
        <v>402</v>
      </c>
      <c r="K67" s="35">
        <v>13348</v>
      </c>
    </row>
    <row r="68" spans="9:11" ht="14.5" x14ac:dyDescent="0.35">
      <c r="I68" s="25"/>
      <c r="J68" s="26" t="s">
        <v>403</v>
      </c>
      <c r="K68" s="27">
        <v>2209</v>
      </c>
    </row>
    <row r="69" spans="9:11" ht="14.5" x14ac:dyDescent="0.35">
      <c r="I69" s="19">
        <v>6</v>
      </c>
      <c r="J69" s="20" t="s">
        <v>402</v>
      </c>
      <c r="K69" s="35">
        <v>10159</v>
      </c>
    </row>
    <row r="70" spans="9:11" ht="14.5" x14ac:dyDescent="0.35">
      <c r="I70" s="25"/>
      <c r="J70" s="26" t="s">
        <v>403</v>
      </c>
      <c r="K70" s="27">
        <v>2016</v>
      </c>
    </row>
    <row r="71" spans="9:11" ht="14.5" x14ac:dyDescent="0.35">
      <c r="I71" s="19">
        <v>7</v>
      </c>
      <c r="J71" s="20" t="s">
        <v>402</v>
      </c>
      <c r="K71" s="35">
        <v>16763</v>
      </c>
    </row>
    <row r="72" spans="9:11" ht="14.5" x14ac:dyDescent="0.35">
      <c r="I72" s="25"/>
      <c r="J72" s="26" t="s">
        <v>403</v>
      </c>
      <c r="K72" s="27">
        <v>2863</v>
      </c>
    </row>
    <row r="73" spans="9:11" ht="14.5" x14ac:dyDescent="0.35">
      <c r="I73" s="19">
        <v>8</v>
      </c>
      <c r="J73" s="20" t="s">
        <v>402</v>
      </c>
      <c r="K73" s="35">
        <v>7455</v>
      </c>
    </row>
    <row r="74" spans="9:11" ht="14.5" x14ac:dyDescent="0.35">
      <c r="I74" s="25"/>
      <c r="J74" s="26" t="s">
        <v>403</v>
      </c>
      <c r="K74" s="27">
        <v>1622</v>
      </c>
    </row>
    <row r="75" spans="9:11" ht="14.5" x14ac:dyDescent="0.35">
      <c r="I75" s="19">
        <v>9</v>
      </c>
      <c r="J75" s="20" t="s">
        <v>402</v>
      </c>
      <c r="K75" s="35">
        <v>8354</v>
      </c>
    </row>
    <row r="76" spans="9:11" ht="14.5" x14ac:dyDescent="0.35">
      <c r="I76" s="25"/>
      <c r="J76" s="26" t="s">
        <v>403</v>
      </c>
      <c r="K76" s="27">
        <v>1605</v>
      </c>
    </row>
    <row r="77" spans="9:11" ht="14.5" x14ac:dyDescent="0.35">
      <c r="I77" s="19">
        <v>10</v>
      </c>
      <c r="J77" s="20" t="s">
        <v>402</v>
      </c>
      <c r="K77" s="35">
        <v>11752</v>
      </c>
    </row>
    <row r="78" spans="9:11" ht="14.5" x14ac:dyDescent="0.35">
      <c r="I78" s="25"/>
      <c r="J78" s="26" t="s">
        <v>403</v>
      </c>
      <c r="K78" s="27">
        <v>2038</v>
      </c>
    </row>
    <row r="79" spans="9:11" ht="14.5" x14ac:dyDescent="0.35">
      <c r="I79" s="19">
        <v>11</v>
      </c>
      <c r="J79" s="20" t="s">
        <v>402</v>
      </c>
      <c r="K79" s="35">
        <v>4767</v>
      </c>
    </row>
    <row r="80" spans="9:11" ht="14.5" x14ac:dyDescent="0.35">
      <c r="I80" s="25"/>
      <c r="J80" s="26" t="s">
        <v>403</v>
      </c>
      <c r="K80" s="27">
        <v>892</v>
      </c>
    </row>
    <row r="81" spans="9:11" ht="14.5" x14ac:dyDescent="0.35">
      <c r="I81" s="19">
        <v>12</v>
      </c>
      <c r="J81" s="20" t="s">
        <v>402</v>
      </c>
      <c r="K81" s="35">
        <v>8706</v>
      </c>
    </row>
    <row r="82" spans="9:11" ht="14.5" x14ac:dyDescent="0.35">
      <c r="I82" s="25"/>
      <c r="J82" s="26" t="s">
        <v>403</v>
      </c>
      <c r="K82" s="27">
        <v>1591</v>
      </c>
    </row>
    <row r="83" spans="9:11" ht="14.5" x14ac:dyDescent="0.35">
      <c r="I83" s="28" t="s">
        <v>425</v>
      </c>
      <c r="J83" s="29"/>
      <c r="K83" s="31">
        <v>134724</v>
      </c>
    </row>
    <row r="84" spans="9:11" ht="14.5" x14ac:dyDescent="0.35">
      <c r="I84" s="32" t="s">
        <v>427</v>
      </c>
      <c r="J84" s="33"/>
      <c r="K84" s="34">
        <v>24658</v>
      </c>
    </row>
  </sheetData>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3495-1BCE-4816-BC68-0C00F0E38F36}">
  <dimension ref="A1:L18"/>
  <sheetViews>
    <sheetView topLeftCell="A28" zoomScale="83" zoomScaleNormal="83" workbookViewId="0">
      <selection activeCell="F28" sqref="F28"/>
    </sheetView>
  </sheetViews>
  <sheetFormatPr defaultRowHeight="14.5" x14ac:dyDescent="0.35"/>
  <cols>
    <col min="1" max="1" width="12.90625" bestFit="1" customWidth="1"/>
    <col min="2" max="2" width="15.54296875" bestFit="1" customWidth="1"/>
    <col min="3" max="3" width="10.90625" bestFit="1" customWidth="1"/>
    <col min="4" max="4" width="13.36328125" bestFit="1" customWidth="1"/>
    <col min="5" max="5" width="12.90625" bestFit="1" customWidth="1"/>
    <col min="6" max="6" width="13.08984375" bestFit="1" customWidth="1"/>
    <col min="7" max="7" width="21.6328125" bestFit="1" customWidth="1"/>
    <col min="9" max="9" width="12.90625" bestFit="1" customWidth="1"/>
    <col min="10" max="10" width="14.453125" bestFit="1" customWidth="1"/>
    <col min="11" max="11" width="13.36328125" bestFit="1" customWidth="1"/>
    <col min="12" max="12" width="16.08984375" bestFit="1" customWidth="1"/>
    <col min="13" max="13" width="14.7265625" bestFit="1" customWidth="1"/>
    <col min="14" max="14" width="20.36328125" bestFit="1" customWidth="1"/>
    <col min="15" max="15" width="24.36328125" bestFit="1" customWidth="1"/>
    <col min="16" max="16" width="12.90625" bestFit="1" customWidth="1"/>
  </cols>
  <sheetData>
    <row r="1" spans="1:12" x14ac:dyDescent="0.35">
      <c r="A1" s="40" t="s">
        <v>432</v>
      </c>
      <c r="B1" s="40"/>
      <c r="C1" s="40"/>
      <c r="D1" s="40"/>
      <c r="E1" s="40"/>
      <c r="F1" s="40"/>
      <c r="G1" s="40"/>
      <c r="H1" s="40"/>
      <c r="I1" s="40"/>
      <c r="J1" s="40"/>
      <c r="K1" s="40"/>
      <c r="L1" s="40"/>
    </row>
    <row r="2" spans="1:12" ht="14.5" customHeight="1" x14ac:dyDescent="0.35">
      <c r="A2" s="40"/>
      <c r="B2" s="40"/>
      <c r="C2" s="40"/>
      <c r="D2" s="40"/>
      <c r="E2" s="40"/>
      <c r="F2" s="40"/>
      <c r="G2" s="40"/>
      <c r="H2" s="40"/>
      <c r="I2" s="40"/>
      <c r="J2" s="40"/>
      <c r="K2" s="40"/>
      <c r="L2" s="40"/>
    </row>
    <row r="3" spans="1:12" x14ac:dyDescent="0.35">
      <c r="A3" s="41"/>
      <c r="B3" s="41"/>
      <c r="C3" s="41"/>
      <c r="D3" s="41"/>
      <c r="E3" s="41"/>
      <c r="F3" s="41"/>
      <c r="G3" s="41"/>
      <c r="H3" s="41"/>
      <c r="I3" s="41"/>
      <c r="J3" s="41"/>
      <c r="K3" s="41"/>
      <c r="L3" s="41"/>
    </row>
    <row r="4" spans="1:12" x14ac:dyDescent="0.35">
      <c r="A4" s="36" t="s">
        <v>428</v>
      </c>
      <c r="D4" s="36" t="s">
        <v>429</v>
      </c>
      <c r="G4" s="36" t="s">
        <v>430</v>
      </c>
      <c r="J4" s="36" t="s">
        <v>431</v>
      </c>
    </row>
    <row r="5" spans="1:12" x14ac:dyDescent="0.35">
      <c r="A5" s="42">
        <f>Analysis!C4</f>
        <v>821022.83500000054</v>
      </c>
      <c r="B5" s="42"/>
      <c r="C5" s="42"/>
      <c r="D5" s="43">
        <f>Analysis!C9</f>
        <v>134724</v>
      </c>
      <c r="E5" s="43"/>
      <c r="F5" s="43"/>
      <c r="G5" s="43">
        <f>Analysis!C10</f>
        <v>24658</v>
      </c>
      <c r="H5" s="43"/>
      <c r="I5" s="43"/>
      <c r="J5" s="44">
        <f>Analysis!C11</f>
        <v>0.18302603841928683</v>
      </c>
      <c r="K5" s="44"/>
      <c r="L5" s="44"/>
    </row>
    <row r="6" spans="1:12" x14ac:dyDescent="0.35">
      <c r="A6" s="42"/>
      <c r="B6" s="42"/>
      <c r="C6" s="42"/>
      <c r="D6" s="43"/>
      <c r="E6" s="43"/>
      <c r="F6" s="43"/>
      <c r="G6" s="43"/>
      <c r="H6" s="43"/>
      <c r="I6" s="43"/>
      <c r="J6" s="44"/>
      <c r="K6" s="44"/>
      <c r="L6" s="44"/>
    </row>
    <row r="7" spans="1:12" x14ac:dyDescent="0.35">
      <c r="A7" s="42"/>
      <c r="B7" s="42"/>
      <c r="C7" s="42"/>
      <c r="D7" s="43"/>
      <c r="E7" s="43"/>
      <c r="F7" s="43"/>
      <c r="G7" s="43"/>
      <c r="H7" s="43"/>
      <c r="I7" s="43"/>
      <c r="J7" s="44"/>
      <c r="K7" s="44"/>
      <c r="L7" s="44"/>
    </row>
    <row r="8" spans="1:12" ht="14.5" customHeight="1" x14ac:dyDescent="0.35"/>
    <row r="9" spans="1:12" x14ac:dyDescent="0.35">
      <c r="A9" s="8" t="s">
        <v>4</v>
      </c>
      <c r="B9" s="8" t="s">
        <v>433</v>
      </c>
      <c r="C9" s="8" t="s">
        <v>434</v>
      </c>
      <c r="E9" s="8" t="s">
        <v>306</v>
      </c>
      <c r="F9" s="8" t="s">
        <v>8</v>
      </c>
      <c r="I9" s="8" t="s">
        <v>5</v>
      </c>
      <c r="J9" s="8" t="s">
        <v>399</v>
      </c>
    </row>
    <row r="10" spans="1:12" x14ac:dyDescent="0.35">
      <c r="A10" s="38" t="s">
        <v>448</v>
      </c>
      <c r="B10" t="s">
        <v>451</v>
      </c>
      <c r="E10" s="38" t="s">
        <v>448</v>
      </c>
      <c r="F10" t="s">
        <v>452</v>
      </c>
      <c r="I10" s="38" t="s">
        <v>448</v>
      </c>
      <c r="J10" t="s">
        <v>453</v>
      </c>
      <c r="K10" t="s">
        <v>450</v>
      </c>
    </row>
    <row r="11" spans="1:12" x14ac:dyDescent="0.35">
      <c r="A11" s="39" t="s">
        <v>24</v>
      </c>
      <c r="B11" s="49">
        <v>5</v>
      </c>
      <c r="E11" s="39" t="s">
        <v>35</v>
      </c>
      <c r="F11" s="49">
        <v>174</v>
      </c>
      <c r="I11" s="39" t="s">
        <v>35</v>
      </c>
      <c r="J11" s="49">
        <v>9</v>
      </c>
      <c r="K11" s="4">
        <v>25952.7</v>
      </c>
    </row>
    <row r="12" spans="1:12" x14ac:dyDescent="0.35">
      <c r="A12" s="39" t="s">
        <v>19</v>
      </c>
      <c r="B12" s="49">
        <v>3</v>
      </c>
      <c r="E12" s="39" t="s">
        <v>43</v>
      </c>
      <c r="F12" s="49">
        <v>219</v>
      </c>
      <c r="I12" s="39" t="s">
        <v>43</v>
      </c>
      <c r="J12" s="49">
        <v>11</v>
      </c>
      <c r="K12" s="4">
        <v>30320.474999999999</v>
      </c>
    </row>
    <row r="13" spans="1:12" x14ac:dyDescent="0.35">
      <c r="A13" s="39" t="s">
        <v>76</v>
      </c>
      <c r="B13" s="49">
        <v>6</v>
      </c>
      <c r="E13" s="39" t="s">
        <v>21</v>
      </c>
      <c r="F13" s="49">
        <v>154</v>
      </c>
      <c r="I13" s="39" t="s">
        <v>21</v>
      </c>
      <c r="J13" s="49">
        <v>12</v>
      </c>
      <c r="K13" s="4">
        <v>32950.06</v>
      </c>
    </row>
    <row r="14" spans="1:12" x14ac:dyDescent="0.35">
      <c r="A14" s="39" t="s">
        <v>10</v>
      </c>
      <c r="B14" s="49">
        <v>8</v>
      </c>
      <c r="E14" s="39" t="s">
        <v>17</v>
      </c>
      <c r="F14" s="49">
        <v>359</v>
      </c>
      <c r="I14" s="39" t="s">
        <v>17</v>
      </c>
      <c r="J14" s="49">
        <v>18</v>
      </c>
      <c r="K14" s="4">
        <v>57982.595000000001</v>
      </c>
    </row>
    <row r="15" spans="1:12" x14ac:dyDescent="0.35">
      <c r="A15" s="39" t="s">
        <v>15</v>
      </c>
      <c r="B15" s="49">
        <v>8</v>
      </c>
      <c r="E15" s="39" t="s">
        <v>14</v>
      </c>
      <c r="F15" s="49">
        <v>200</v>
      </c>
      <c r="I15" s="39" t="s">
        <v>14</v>
      </c>
      <c r="J15" s="49">
        <v>11</v>
      </c>
      <c r="K15" s="4">
        <v>24963.974999999999</v>
      </c>
    </row>
    <row r="16" spans="1:12" x14ac:dyDescent="0.35">
      <c r="A16" s="39" t="s">
        <v>33</v>
      </c>
      <c r="B16" s="49">
        <v>2</v>
      </c>
      <c r="E16" s="39" t="s">
        <v>11</v>
      </c>
      <c r="F16" s="49">
        <v>529</v>
      </c>
      <c r="I16" s="39" t="s">
        <v>11</v>
      </c>
      <c r="J16" s="49">
        <v>36</v>
      </c>
      <c r="K16" s="4">
        <v>103130.65000000001</v>
      </c>
    </row>
    <row r="17" spans="1:11" x14ac:dyDescent="0.35">
      <c r="A17" s="39" t="s">
        <v>449</v>
      </c>
      <c r="B17" s="49">
        <v>32</v>
      </c>
      <c r="E17" s="39" t="s">
        <v>33</v>
      </c>
      <c r="F17" s="49">
        <v>94</v>
      </c>
      <c r="I17" s="39" t="s">
        <v>33</v>
      </c>
      <c r="J17" s="49">
        <v>6</v>
      </c>
      <c r="K17" s="4">
        <v>10818.61</v>
      </c>
    </row>
    <row r="18" spans="1:11" x14ac:dyDescent="0.35">
      <c r="E18" s="39" t="s">
        <v>449</v>
      </c>
      <c r="F18" s="49">
        <v>1729</v>
      </c>
      <c r="I18" s="39" t="s">
        <v>449</v>
      </c>
      <c r="J18" s="49">
        <v>103</v>
      </c>
      <c r="K18" s="4">
        <v>286119.06499999989</v>
      </c>
    </row>
  </sheetData>
  <mergeCells count="6">
    <mergeCell ref="A1:L2"/>
    <mergeCell ref="A3:L3"/>
    <mergeCell ref="A5:C7"/>
    <mergeCell ref="D5:F7"/>
    <mergeCell ref="G5:I7"/>
    <mergeCell ref="J5:L7"/>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showGridLines="0" tabSelected="1" topLeftCell="A5" zoomScaleNormal="100" workbookViewId="0">
      <selection sqref="A1:H2"/>
    </sheetView>
  </sheetViews>
  <sheetFormatPr defaultColWidth="8.6328125" defaultRowHeight="15" customHeight="1" x14ac:dyDescent="0.35"/>
  <cols>
    <col min="1" max="8" width="20" customWidth="1"/>
  </cols>
  <sheetData>
    <row r="1" spans="1:8" ht="14.5" x14ac:dyDescent="0.35">
      <c r="A1" s="48" t="s">
        <v>435</v>
      </c>
      <c r="B1" s="48"/>
      <c r="C1" s="48"/>
      <c r="D1" s="48"/>
      <c r="E1" s="48"/>
      <c r="F1" s="48"/>
      <c r="G1" s="48"/>
      <c r="H1" s="48"/>
    </row>
    <row r="2" spans="1:8" ht="14.5" x14ac:dyDescent="0.35">
      <c r="A2" s="48"/>
      <c r="B2" s="48"/>
      <c r="C2" s="48"/>
      <c r="D2" s="48"/>
      <c r="E2" s="48"/>
      <c r="F2" s="48"/>
      <c r="G2" s="48"/>
      <c r="H2" s="48"/>
    </row>
    <row r="4" spans="1:8" ht="17.5" x14ac:dyDescent="0.35">
      <c r="A4" s="37" t="s">
        <v>436</v>
      </c>
    </row>
    <row r="5" spans="1:8" ht="15" customHeight="1" x14ac:dyDescent="0.35">
      <c r="A5" s="46" t="s">
        <v>437</v>
      </c>
      <c r="B5" s="46"/>
      <c r="C5" s="46"/>
      <c r="D5" s="46"/>
      <c r="E5" s="46"/>
      <c r="F5" s="46"/>
      <c r="G5" s="46"/>
      <c r="H5" s="46"/>
    </row>
    <row r="6" spans="1:8" ht="15" customHeight="1" x14ac:dyDescent="0.35">
      <c r="A6" s="46" t="s">
        <v>438</v>
      </c>
      <c r="B6" s="46"/>
      <c r="C6" s="46"/>
      <c r="D6" s="46"/>
      <c r="E6" s="46"/>
      <c r="F6" s="46"/>
      <c r="G6" s="46"/>
      <c r="H6" s="46"/>
    </row>
    <row r="7" spans="1:8" ht="15" customHeight="1" x14ac:dyDescent="0.35">
      <c r="A7" s="46" t="s">
        <v>439</v>
      </c>
      <c r="B7" s="46"/>
      <c r="C7" s="46"/>
      <c r="D7" s="46"/>
      <c r="E7" s="46"/>
      <c r="F7" s="46"/>
      <c r="G7" s="46"/>
      <c r="H7" s="46"/>
    </row>
    <row r="8" spans="1:8" ht="15" customHeight="1" x14ac:dyDescent="0.35">
      <c r="A8" s="46" t="s">
        <v>440</v>
      </c>
      <c r="B8" s="46"/>
      <c r="C8" s="46"/>
      <c r="D8" s="46"/>
      <c r="E8" s="46"/>
      <c r="F8" s="46"/>
      <c r="G8" s="46"/>
      <c r="H8" s="46"/>
    </row>
    <row r="9" spans="1:8" ht="15" customHeight="1" x14ac:dyDescent="0.35">
      <c r="A9" s="46" t="s">
        <v>441</v>
      </c>
      <c r="B9" s="46"/>
      <c r="C9" s="46"/>
      <c r="D9" s="46"/>
      <c r="E9" s="46"/>
      <c r="F9" s="46"/>
      <c r="G9" s="46"/>
      <c r="H9" s="46"/>
    </row>
    <row r="12" spans="1:8" ht="17.5" x14ac:dyDescent="0.35">
      <c r="A12" s="37" t="s">
        <v>442</v>
      </c>
    </row>
    <row r="13" spans="1:8" ht="15" customHeight="1" x14ac:dyDescent="0.35">
      <c r="A13" s="46" t="s">
        <v>443</v>
      </c>
      <c r="B13" s="46"/>
      <c r="C13" s="46"/>
      <c r="D13" s="46"/>
      <c r="E13" s="46"/>
      <c r="F13" s="46"/>
      <c r="G13" s="46"/>
      <c r="H13" s="46"/>
    </row>
    <row r="14" spans="1:8" ht="15" customHeight="1" x14ac:dyDescent="0.35">
      <c r="A14" s="46" t="s">
        <v>444</v>
      </c>
      <c r="B14" s="46"/>
      <c r="C14" s="46"/>
      <c r="D14" s="46"/>
      <c r="E14" s="46"/>
      <c r="F14" s="46"/>
      <c r="G14" s="46"/>
      <c r="H14" s="46"/>
    </row>
    <row r="15" spans="1:8" ht="15" customHeight="1" x14ac:dyDescent="0.35">
      <c r="A15" s="46" t="s">
        <v>445</v>
      </c>
      <c r="B15" s="46"/>
      <c r="C15" s="46"/>
      <c r="D15" s="46"/>
      <c r="E15" s="46"/>
      <c r="F15" s="46"/>
      <c r="G15" s="46"/>
      <c r="H15" s="46"/>
    </row>
    <row r="18" spans="1:8" ht="17.5" x14ac:dyDescent="0.35">
      <c r="A18" s="37" t="s">
        <v>446</v>
      </c>
    </row>
    <row r="19" spans="1:8" ht="14.5" x14ac:dyDescent="0.35">
      <c r="A19" s="47" t="s">
        <v>447</v>
      </c>
      <c r="B19" s="47"/>
      <c r="C19" s="47"/>
      <c r="D19" s="47"/>
      <c r="E19" s="47"/>
      <c r="F19" s="47"/>
      <c r="G19" s="47"/>
      <c r="H19" s="47"/>
    </row>
  </sheetData>
  <mergeCells count="10">
    <mergeCell ref="A1:H2"/>
    <mergeCell ref="A5:H5"/>
    <mergeCell ref="A6:H6"/>
    <mergeCell ref="A7:H7"/>
    <mergeCell ref="A8:H8"/>
    <mergeCell ref="A9:H9"/>
    <mergeCell ref="A13:H13"/>
    <mergeCell ref="A14:H14"/>
    <mergeCell ref="A15:H15"/>
    <mergeCell ref="A19:H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Clean_Data</vt:lpstr>
      <vt:lpstr>Sheet9</vt:lpstr>
      <vt:lpstr>dhasbord2</vt:lpstr>
      <vt:lpstr>Analysis</vt:lpstr>
      <vt:lpstr>PivotTables</vt:lpstr>
      <vt:lpstr>Dashboard1</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nimca updirahim</cp:lastModifiedBy>
  <cp:revision>1</cp:revision>
  <dcterms:created xsi:type="dcterms:W3CDTF">2026-08-25T07:15:59Z</dcterms:created>
  <dcterms:modified xsi:type="dcterms:W3CDTF">2026-08-27T06:45:42Z</dcterms:modified>
  <dc:language>en-US</dc:language>
</cp:coreProperties>
</file>